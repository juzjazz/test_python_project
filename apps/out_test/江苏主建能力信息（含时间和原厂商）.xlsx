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ll\Desktop\"/>
    </mc:Choice>
  </mc:AlternateContent>
  <xr:revisionPtr revIDLastSave="0" documentId="8_{735C4244-A4FA-41E5-82C8-9FD0B12AA52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6" r:id="rId1"/>
    <sheet name="全量能力清单" sheetId="2" r:id="rId2"/>
    <sheet name="原厂商数据图表概览" sheetId="3" r:id="rId3"/>
    <sheet name="22年厂商上台数汇总" sheetId="5" r:id="rId4"/>
    <sheet name="2022年上台明细" sheetId="4" r:id="rId5"/>
    <sheet name="2023年上台明细" sheetId="7" r:id="rId6"/>
  </sheets>
  <definedNames>
    <definedName name="_xlnm._FilterDatabase" localSheetId="4" hidden="1">'2022年上台明细'!$A$1:$I$71</definedName>
    <definedName name="_xlnm._FilterDatabase" localSheetId="1" hidden="1">全量能力清单!$A$1:$I$130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7" l="1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B24" i="5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<sst xmlns="http://schemas.openxmlformats.org/spreadsheetml/2006/main" count="1552" uniqueCount="354">
  <si>
    <t>归属科室</t>
  </si>
  <si>
    <t>计数项:归属科室</t>
  </si>
  <si>
    <t>数分室</t>
  </si>
  <si>
    <t>能拓室</t>
  </si>
  <si>
    <t>维护室</t>
  </si>
  <si>
    <t>需求室</t>
  </si>
  <si>
    <t>网络部</t>
  </si>
  <si>
    <t>管信室</t>
  </si>
  <si>
    <t>响应室</t>
  </si>
  <si>
    <t>紫金院</t>
  </si>
  <si>
    <t>集客部/中台室</t>
  </si>
  <si>
    <t>安全室</t>
  </si>
  <si>
    <t>数家中心</t>
  </si>
  <si>
    <t>紫金院/规建室</t>
  </si>
  <si>
    <t>中台室</t>
  </si>
  <si>
    <t>数业中心</t>
  </si>
  <si>
    <t>电渠</t>
  </si>
  <si>
    <t>ICT</t>
  </si>
  <si>
    <t>总计</t>
  </si>
  <si>
    <t>序号</t>
  </si>
  <si>
    <t>能力名称</t>
  </si>
  <si>
    <t>负责人</t>
  </si>
  <si>
    <t>联系电话</t>
  </si>
  <si>
    <t>邮箱</t>
  </si>
  <si>
    <t>归属中台</t>
  </si>
  <si>
    <t>厂商</t>
  </si>
  <si>
    <t>上台时间</t>
  </si>
  <si>
    <t>智慧党建电视能力</t>
  </si>
  <si>
    <t>杨进</t>
  </si>
  <si>
    <t>yangjin@js.chinamobile.com</t>
  </si>
  <si>
    <t>视频运营中心</t>
  </si>
  <si>
    <t>业务中台</t>
  </si>
  <si>
    <t>服务调用链监控能力</t>
  </si>
  <si>
    <t>周伟</t>
  </si>
  <si>
    <t>zhouweisgs@js.chinamobile.com</t>
  </si>
  <si>
    <t>华为</t>
  </si>
  <si>
    <t>资源池硬件智能巡检告警能力</t>
  </si>
  <si>
    <t>李采</t>
  </si>
  <si>
    <t>licai@js.chinamobile.com</t>
  </si>
  <si>
    <t>宝兰德</t>
  </si>
  <si>
    <t>泛终端进销存数据可视化能力</t>
  </si>
  <si>
    <t>周坤</t>
  </si>
  <si>
    <t>zhoukunsgs1@js.chinamobile.com</t>
  </si>
  <si>
    <t>欣网</t>
  </si>
  <si>
    <t>泛终端商品信息管理能力</t>
  </si>
  <si>
    <t>泛终端售后服务管理能力</t>
  </si>
  <si>
    <t>渠道泛终端业务融合运营支撑能力</t>
  </si>
  <si>
    <t>移动网络客户感知画像能力</t>
  </si>
  <si>
    <t>钮远</t>
  </si>
  <si>
    <t>niuyuan@js.chinamobile.com</t>
  </si>
  <si>
    <t>供应链碳排放追踪与管理能力</t>
  </si>
  <si>
    <t>李玉杰</t>
  </si>
  <si>
    <t>liyujie@js.chinamobile.com</t>
  </si>
  <si>
    <t>政企装维人员着装图像识别能力</t>
  </si>
  <si>
    <t>李洋</t>
  </si>
  <si>
    <t>liyangsgs@js.chinamobile.com</t>
  </si>
  <si>
    <t>技术中台</t>
  </si>
  <si>
    <t>政企专线客户侧设备接地规范质检能力</t>
  </si>
  <si>
    <t>工单智能处理能力</t>
  </si>
  <si>
    <t>顾强</t>
  </si>
  <si>
    <t>guqiang@js.chinamobile.com</t>
  </si>
  <si>
    <t>AI室</t>
  </si>
  <si>
    <t>上海汉得</t>
  </si>
  <si>
    <t>商显屏能力</t>
  </si>
  <si>
    <t>胡文文</t>
  </si>
  <si>
    <t>huwenwensgs@js.chinamobile.com</t>
  </si>
  <si>
    <t>视频运营中心/中台室</t>
  </si>
  <si>
    <t>税务风险预警管控能力</t>
  </si>
  <si>
    <t>陆长征</t>
  </si>
  <si>
    <t>lucz@js.chinamobile.com</t>
  </si>
  <si>
    <t>数据中台</t>
  </si>
  <si>
    <t>政企装维信息稽核能力</t>
  </si>
  <si>
    <t>客诉工单处理能力</t>
  </si>
  <si>
    <t>林琳</t>
  </si>
  <si>
    <t>linlinsgs2@js.chinamobile.com</t>
  </si>
  <si>
    <t>运管室</t>
  </si>
  <si>
    <t>华为/新大陆</t>
  </si>
  <si>
    <t>“畅优宝”无线网络增强覆盖能力</t>
  </si>
  <si>
    <t>毕晓琳</t>
  </si>
  <si>
    <t>bixiaolin@js.chinamobile.com</t>
  </si>
  <si>
    <t>5G无线云网络专网覆盖能力</t>
  </si>
  <si>
    <t>黄宇骁</t>
  </si>
  <si>
    <t>huangyuxiao@js.chinamobile.com</t>
  </si>
  <si>
    <t>工程建设数字监理能力</t>
  </si>
  <si>
    <t>俞新华</t>
  </si>
  <si>
    <t>yuxh@js.chinamobile.com</t>
  </si>
  <si>
    <t>工程部</t>
  </si>
  <si>
    <t>政企合同收支计划解析能力</t>
  </si>
  <si>
    <t>商户入楼识别模型能力</t>
  </si>
  <si>
    <t>朱春平</t>
  </si>
  <si>
    <t>zhuchunping@js.chinamobile.com</t>
  </si>
  <si>
    <t>新大陆</t>
  </si>
  <si>
    <t>Redis自动化部署运维能力</t>
  </si>
  <si>
    <t>臧紫文</t>
  </si>
  <si>
    <t>zangzw@js.chinamobile.com</t>
  </si>
  <si>
    <t>集团关联人甄别模型能力</t>
  </si>
  <si>
    <t>家庭户内用户连接综合识别优化能力</t>
  </si>
  <si>
    <t>金波</t>
  </si>
  <si>
    <t>jinbo@js.chinamobile.com</t>
  </si>
  <si>
    <t>基于语音的性别年龄识别能力</t>
  </si>
  <si>
    <t>徐奎</t>
  </si>
  <si>
    <t>xukui9@js.chinamobile.com</t>
  </si>
  <si>
    <t>科大讯飞</t>
  </si>
  <si>
    <t>基站经纬度治理模型能力</t>
  </si>
  <si>
    <t>帅敏</t>
  </si>
  <si>
    <t>shuaiminsgs@js.chinamobile.com</t>
  </si>
  <si>
    <t>工程资产关账数据全流程管控能力</t>
  </si>
  <si>
    <t>业务操作风险评估能力</t>
  </si>
  <si>
    <t>陈霞</t>
  </si>
  <si>
    <t>chenxiasgs@js.chinamobile.com</t>
  </si>
  <si>
    <t>场馆分层人流聚集预警能力</t>
  </si>
  <si>
    <t>吴祖康</t>
  </si>
  <si>
    <t>wuzukang@js.chinamobile.com</t>
  </si>
  <si>
    <t>高速路段交通分析能力</t>
  </si>
  <si>
    <t>张念启</t>
  </si>
  <si>
    <t>zhangnianqisgs@js.chinamobile.com</t>
  </si>
  <si>
    <t>“云图”时空洞察行业解决方案能力</t>
  </si>
  <si>
    <t>李树春</t>
  </si>
  <si>
    <t>lisc@js.chinamobile.com</t>
  </si>
  <si>
    <t>费用穿透管理能力</t>
  </si>
  <si>
    <t>金兴海</t>
  </si>
  <si>
    <t>jinxinghai@js.chinamobile.com</t>
  </si>
  <si>
    <t>漫游结算风控管理能力</t>
  </si>
  <si>
    <t>邓超</t>
  </si>
  <si>
    <t>dengchaosgs@js.chinamobile.com</t>
  </si>
  <si>
    <t>5G+工业现场网数智化底座能力</t>
  </si>
  <si>
    <t>绳红磊</t>
  </si>
  <si>
    <t>shenghonglei@js.chinamobile.com</t>
  </si>
  <si>
    <t>灰度发布流量控制和数据切换能力</t>
  </si>
  <si>
    <t>系统可用性探测能力</t>
  </si>
  <si>
    <t>田国良</t>
  </si>
  <si>
    <t>tianguoliang@js.chinamobile.com</t>
  </si>
  <si>
    <t>智能工单助手能力</t>
  </si>
  <si>
    <t>张岩</t>
  </si>
  <si>
    <t>zhangyansgs5@js.chinamobile.com</t>
  </si>
  <si>
    <t>亚信</t>
  </si>
  <si>
    <t>手机上网WEB业务质差识别能力</t>
  </si>
  <si>
    <t>证件证照防伪水印识别能力</t>
  </si>
  <si>
    <t>陈赛男</t>
  </si>
  <si>
    <t>chensn@js.chinamobile.com</t>
  </si>
  <si>
    <t>充电设施用户洞察能力</t>
  </si>
  <si>
    <t>丁乐</t>
  </si>
  <si>
    <t>dinglesgs@js.chinamobile.com</t>
  </si>
  <si>
    <t>行业楼宇数字化服务能力</t>
  </si>
  <si>
    <t>孙苑苑</t>
  </si>
  <si>
    <t>sunyuanyuan@js.chinamobile.com</t>
  </si>
  <si>
    <t>区块链政务服务能力</t>
  </si>
  <si>
    <t>陈鹏飞</t>
  </si>
  <si>
    <t>chenpf9@js.chinamobile.com</t>
  </si>
  <si>
    <t>区块链隐私数据披露能力</t>
  </si>
  <si>
    <t>啄木鸟营销案风险洞察能力</t>
  </si>
  <si>
    <t>陈雷</t>
  </si>
  <si>
    <t>chenleisgs1@js.chinamobile.com</t>
  </si>
  <si>
    <t>东方国信</t>
  </si>
  <si>
    <t>资产自助下发工具能力</t>
  </si>
  <si>
    <t>王学亮</t>
  </si>
  <si>
    <t>wangxueliang@js.chinamobile.com</t>
  </si>
  <si>
    <t>5G端到端切片专网SLA保障能力</t>
  </si>
  <si>
    <t>戴寒怡</t>
  </si>
  <si>
    <t>daihanyi@js.chinamobile.com</t>
  </si>
  <si>
    <t>供应链一码防篡能力</t>
  </si>
  <si>
    <t>杨淑</t>
  </si>
  <si>
    <t>yangshusgs@js.chinamobile.com</t>
  </si>
  <si>
    <t>垃圾桶溢出识别能力</t>
  </si>
  <si>
    <t>浪潮</t>
  </si>
  <si>
    <t>车牌号识别能力</t>
  </si>
  <si>
    <t>快递外卖人员识别能力</t>
  </si>
  <si>
    <t>宽带质差用户识别能力</t>
  </si>
  <si>
    <t>庞振</t>
  </si>
  <si>
    <t>pangzhen@js.chinamobile.com</t>
  </si>
  <si>
    <t>瑞玥</t>
  </si>
  <si>
    <t>单元格人群异动识别能力</t>
  </si>
  <si>
    <t>陈晓锋</t>
  </si>
  <si>
    <t>chenxiaofeng@js.chinamobile.com</t>
  </si>
  <si>
    <t>合成假音识别能力</t>
  </si>
  <si>
    <t>运维指令统一纳管能力</t>
  </si>
  <si>
    <t>王娟</t>
  </si>
  <si>
    <t>wangjuansgs3@js.chinamobile.com</t>
  </si>
  <si>
    <t>数字普惠金融区域服务下沉能力</t>
  </si>
  <si>
    <r>
      <rPr>
        <sz val="11"/>
        <color rgb="FF000000"/>
        <rFont val="宋体"/>
        <family val="3"/>
        <charset val="134"/>
      </rPr>
      <t>陆天</t>
    </r>
    <r>
      <rPr>
        <sz val="11"/>
        <color rgb="FF000000"/>
        <rFont val="宋体-简"/>
        <charset val="134"/>
      </rPr>
      <t>珺</t>
    </r>
  </si>
  <si>
    <t>lutianjun@js.chinamobile.com</t>
  </si>
  <si>
    <t>批量文件目标信息提取能力</t>
  </si>
  <si>
    <t>密码探测行为智能识别分析能力</t>
  </si>
  <si>
    <t>蒋小雨</t>
  </si>
  <si>
    <t>jiangxiaoyu@js.chinamobile.com</t>
  </si>
  <si>
    <t>屏幕录像敏感数据识别与溯源能力</t>
  </si>
  <si>
    <t>陈若鹏</t>
  </si>
  <si>
    <t>chenrp@js.chinamobile.com</t>
  </si>
  <si>
    <t>保旺达</t>
  </si>
  <si>
    <t>“一号外显”能力</t>
  </si>
  <si>
    <t>朱富</t>
  </si>
  <si>
    <t>zhufusgs@js.chinamobile.com</t>
  </si>
  <si>
    <t>微呼科技</t>
  </si>
  <si>
    <t>水域智能监控治理能力</t>
  </si>
  <si>
    <t>陈晓峰</t>
  </si>
  <si>
    <t>啄木鸟服务推诿识别能力</t>
  </si>
  <si>
    <t>OA公文文本相似度比对能力</t>
  </si>
  <si>
    <t>文本对象标准化能力</t>
  </si>
  <si>
    <t>文本标题生成能力</t>
  </si>
  <si>
    <t>OA拟文文本模板推荐能力</t>
  </si>
  <si>
    <t>Web应用后门攻击检测能力</t>
  </si>
  <si>
    <t>5G高铁用户感知评估能力</t>
  </si>
  <si>
    <t>宦澄</t>
  </si>
  <si>
    <t>huancheng@js.chinamobile.com</t>
  </si>
  <si>
    <t>无线网精准拆闲补忙能力</t>
  </si>
  <si>
    <t>王莹</t>
  </si>
  <si>
    <t>wangyingsgs2@js.chinamobile.com</t>
  </si>
  <si>
    <t>主机安全防护能力</t>
  </si>
  <si>
    <t>刘立军</t>
  </si>
  <si>
    <t>liulijunsgs@js.chinamobile.com</t>
  </si>
  <si>
    <t>ICT/中台室</t>
  </si>
  <si>
    <t>越级投诉群体识别能力</t>
  </si>
  <si>
    <t>通用产品推荐能力</t>
  </si>
  <si>
    <t>运营指标预测能力</t>
  </si>
  <si>
    <t>数字版权能力</t>
  </si>
  <si>
    <t>基于代码级的性能监控与分析能力</t>
  </si>
  <si>
    <t>刘智</t>
  </si>
  <si>
    <t>liuzhisgs@js.chinamobile.com</t>
  </si>
  <si>
    <t>北京基调</t>
  </si>
  <si>
    <t>跨集团资金挪用识别审计能力</t>
  </si>
  <si>
    <t>刘亮</t>
  </si>
  <si>
    <t>liuliangsgs@js.chinamobile.com</t>
  </si>
  <si>
    <t>浩鲸科技</t>
  </si>
  <si>
    <t>项目合同主体关系稽核审计能力</t>
  </si>
  <si>
    <t>社区医疗服务人群动态感知能力</t>
  </si>
  <si>
    <t>行业产品安全访问管控能力</t>
  </si>
  <si>
    <t>商圈客群消费价值评估能力</t>
  </si>
  <si>
    <t>周稚鲲</t>
  </si>
  <si>
    <t>zhouzhikun@js.chinamobile.com</t>
  </si>
  <si>
    <t>AI云喇叭能力</t>
  </si>
  <si>
    <t>田苗</t>
  </si>
  <si>
    <t>tianmiaosgs@js.chinamobile.com</t>
  </si>
  <si>
    <t>规建室</t>
  </si>
  <si>
    <t>集客部</t>
  </si>
  <si>
    <t>实物全生命周期数智化管理能力</t>
  </si>
  <si>
    <t>上海博科</t>
  </si>
  <si>
    <t>旅游景区线路分析能力</t>
  </si>
  <si>
    <t>诈骗APP研判识别能力</t>
  </si>
  <si>
    <t>屈林波</t>
  </si>
  <si>
    <t>qulinbo@js.chinamobile.com</t>
  </si>
  <si>
    <t>恒安嘉新</t>
  </si>
  <si>
    <t>公共安全多级防控圈分析能力</t>
  </si>
  <si>
    <t>加油站网点区域价值用户洞察能力</t>
  </si>
  <si>
    <t>方海贝</t>
  </si>
  <si>
    <t>fanghaibei@js.chinamobile.com</t>
  </si>
  <si>
    <t>渠道网点稽查能力</t>
  </si>
  <si>
    <t>陆天珺</t>
  </si>
  <si>
    <t>地铁乘客路径分析能力</t>
  </si>
  <si>
    <t>金融产品全链路推广能力</t>
  </si>
  <si>
    <t>樊巧云</t>
  </si>
  <si>
    <t>fanqiaoyun@js.chinamobile.com</t>
  </si>
  <si>
    <t>DPI数据质量重点场景保障能力</t>
  </si>
  <si>
    <t>王承斌</t>
  </si>
  <si>
    <t>wangcb@js.chinamobile.com</t>
  </si>
  <si>
    <t>珠海世纪鼎利</t>
  </si>
  <si>
    <t>高危携转用户实时监测预警能力</t>
  </si>
  <si>
    <t>维护室/南通</t>
  </si>
  <si>
    <t>一线信息收集跟踪能力</t>
  </si>
  <si>
    <t>李睿</t>
  </si>
  <si>
    <t>liruisgs2@js.chinamobile.com</t>
  </si>
  <si>
    <t>AI室/常州</t>
  </si>
  <si>
    <t>金融客户授权码管理能力</t>
  </si>
  <si>
    <t>欺诈易感人群画像分析能力</t>
  </si>
  <si>
    <t>陈龙</t>
  </si>
  <si>
    <t>chenlongsgs@js.chinamobile.com</t>
  </si>
  <si>
    <t>旅游消费指数分析能力</t>
  </si>
  <si>
    <t>全网业务甩单集省协同管理能力</t>
  </si>
  <si>
    <t>凡杰</t>
  </si>
  <si>
    <t>fanjie@js.chinamobile.com</t>
  </si>
  <si>
    <t>政企组织树集省协同管理能力</t>
  </si>
  <si>
    <t>零信任应用防护能力</t>
  </si>
  <si>
    <t>集客部/AI室</t>
  </si>
  <si>
    <t>视频专网安全防护能力</t>
  </si>
  <si>
    <t>云原生运维全观测敏捷构建能力</t>
  </si>
  <si>
    <t>胡炜</t>
  </si>
  <si>
    <t>huweisgs@js.chinamobile.com</t>
  </si>
  <si>
    <t>通用混沌演练平台能力</t>
  </si>
  <si>
    <t>黄传俊</t>
  </si>
  <si>
    <t>huangchuanjun@js.chinamobile.com</t>
  </si>
  <si>
    <t>系统智能巡检能力</t>
  </si>
  <si>
    <t>系统业务文件统一管理能力</t>
  </si>
  <si>
    <t>超级SIM-NFC门禁能力</t>
  </si>
  <si>
    <t>杨晓华</t>
  </si>
  <si>
    <t>yangxiaohua@js.chinamobile.com</t>
  </si>
  <si>
    <t>产品运营中心</t>
  </si>
  <si>
    <t>武汉天喻信息</t>
  </si>
  <si>
    <t>报账单智能审核能力</t>
  </si>
  <si>
    <t>智能组网潜客模型能力</t>
  </si>
  <si>
    <t>基于混合查询引擎的实时分析能力</t>
  </si>
  <si>
    <t>k8s均衡调度能力</t>
  </si>
  <si>
    <t>马一骏</t>
  </si>
  <si>
    <t>mayijun@js.chinamobile.com</t>
  </si>
  <si>
    <t>2022-05-27</t>
  </si>
  <si>
    <t>服务转换适配能力</t>
  </si>
  <si>
    <t>指定号码的时空重合度统计能力</t>
  </si>
  <si>
    <t>齐年强</t>
  </si>
  <si>
    <t>yangminjing@js.chinamobile.com</t>
  </si>
  <si>
    <t>2022-04-21</t>
  </si>
  <si>
    <t>超级SIM卡交通应用模型能力</t>
  </si>
  <si>
    <t>孙小娟</t>
  </si>
  <si>
    <t>sunxiaojuan@js.chinamobile.com</t>
  </si>
  <si>
    <t>2022-04-20</t>
  </si>
  <si>
    <t>系统健康度评分能力</t>
  </si>
  <si>
    <t>智能指标预测能力</t>
  </si>
  <si>
    <t>5G云台席能力</t>
  </si>
  <si>
    <t>谈鹏程</t>
  </si>
  <si>
    <t>tanpengcheng@js.chinamobile.com</t>
  </si>
  <si>
    <t>渠道网格运营中心</t>
  </si>
  <si>
    <t>线上店铺优惠券管理能力</t>
  </si>
  <si>
    <t>区域外来人群安全态势管理能力</t>
  </si>
  <si>
    <t>泛终端串号管理能力</t>
  </si>
  <si>
    <t>物流状态在线跟踪能力</t>
  </si>
  <si>
    <t>大学生群体网贷洞察能力</t>
  </si>
  <si>
    <t>赋乐</t>
  </si>
  <si>
    <t>泛终端聚合供货能力</t>
  </si>
  <si>
    <t>2021-12-28</t>
  </si>
  <si>
    <t>容器云平台智能化治理能力</t>
  </si>
  <si>
    <t>智慧双屏互动营销能力</t>
  </si>
  <si>
    <t>吕安</t>
  </si>
  <si>
    <t>lvan@js.chinamobile.com</t>
  </si>
  <si>
    <t>家宽沉默用户激活模型能力</t>
  </si>
  <si>
    <t>网格风险画像能力</t>
  </si>
  <si>
    <t>渠道大数据选址能力</t>
  </si>
  <si>
    <t>钱应星</t>
  </si>
  <si>
    <t>qianyingxing@js.chinamobile.com</t>
  </si>
  <si>
    <t>OA智能批文能力</t>
  </si>
  <si>
    <t>胡颉</t>
  </si>
  <si>
    <t>hujiesgs@js.chinamobile.com</t>
  </si>
  <si>
    <t>全网业务H5受理能力</t>
  </si>
  <si>
    <t>2021-09-16</t>
  </si>
  <si>
    <t>机器人写卡能力</t>
  </si>
  <si>
    <t>杨啸</t>
  </si>
  <si>
    <t>yangxiao1@js.chinamobile.com</t>
  </si>
  <si>
    <t>大唐</t>
  </si>
  <si>
    <t>2021-09-15</t>
  </si>
  <si>
    <t>泛终端全生命周期管理能力</t>
  </si>
  <si>
    <t>2021-09-10</t>
  </si>
  <si>
    <t>醍醐智能挖掘能力</t>
  </si>
  <si>
    <t>2021-06-04</t>
  </si>
  <si>
    <t>计数项:厂商</t>
  </si>
  <si>
    <t>2022年上台数量</t>
  </si>
  <si>
    <t>安全攻击日志多元分析与洞察能力</t>
  </si>
  <si>
    <t>陆浩</t>
  </si>
  <si>
    <t>luhao@js.chinamobile.com</t>
  </si>
  <si>
    <t>精准网格气象预报服务能力</t>
  </si>
  <si>
    <t>苏畅</t>
  </si>
  <si>
    <t>suchang@js.chinamobile.com</t>
  </si>
  <si>
    <t>工业机器视觉检测能力</t>
  </si>
  <si>
    <t>王东</t>
  </si>
  <si>
    <t>wangdongsgs@js.chinamobile.com</t>
  </si>
  <si>
    <t>用户组聚集识别预警能力</t>
  </si>
  <si>
    <t>杨敏婧</t>
  </si>
  <si>
    <t>通勤密集区面日查询能力</t>
  </si>
  <si>
    <t>华为CRM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</si>
</sst>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charset val="134"/>
      <scheme val="minor"/>
    </font>
    <font>
      <b/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宋体-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2" fontId="13" fillId="0" borderId="1" xfId="0" applyNumberFormat="1" applyFont="1" applyBorder="1" applyAlignment="1">
      <alignment horizontal="center" vertical="center" wrapText="1"/>
    </xf>
    <xf numFmtId="0" fontId="14" fillId="0" borderId="1" xfId="1" applyNumberForma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4" fillId="0" borderId="1" xfId="1" applyFill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3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[副本江苏主建能力信息（含时间和原厂商）(1).xlsx]原厂商数据图表概览!数据透视表9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000" b="0" i="0" u="none" strike="noStrike" kern="1200" spc="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2000"/>
              <a:t>合作伙伴能力上台情况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2000" b="0" i="0" u="none" strike="noStrike" kern="1200" spc="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原厂商数据图表概览!$B$3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原厂商数据图表概览!$A$4:$A$31</c:f>
              <c:strCache>
                <c:ptCount val="27"/>
                <c:pt idx="0">
                  <c:v>新大陆</c:v>
                </c:pt>
                <c:pt idx="1">
                  <c:v>欣网</c:v>
                </c:pt>
                <c:pt idx="2">
                  <c:v>紫金院</c:v>
                </c:pt>
                <c:pt idx="3">
                  <c:v>网络部</c:v>
                </c:pt>
                <c:pt idx="4">
                  <c:v>浪潮</c:v>
                </c:pt>
                <c:pt idx="5">
                  <c:v>亚信</c:v>
                </c:pt>
                <c:pt idx="6">
                  <c:v>上海汉得</c:v>
                </c:pt>
                <c:pt idx="7">
                  <c:v>宝兰德</c:v>
                </c:pt>
                <c:pt idx="8">
                  <c:v>华为</c:v>
                </c:pt>
                <c:pt idx="9">
                  <c:v>浩鲸科技</c:v>
                </c:pt>
                <c:pt idx="10">
                  <c:v>瑞玥</c:v>
                </c:pt>
                <c:pt idx="11">
                  <c:v>视频运营中心</c:v>
                </c:pt>
                <c:pt idx="12">
                  <c:v>东方国信</c:v>
                </c:pt>
                <c:pt idx="13">
                  <c:v>ICT</c:v>
                </c:pt>
                <c:pt idx="14">
                  <c:v>科大讯飞</c:v>
                </c:pt>
                <c:pt idx="15">
                  <c:v>工程部</c:v>
                </c:pt>
                <c:pt idx="16">
                  <c:v>华为/新大陆</c:v>
                </c:pt>
                <c:pt idx="17">
                  <c:v>珠海世纪鼎利</c:v>
                </c:pt>
                <c:pt idx="18">
                  <c:v>恒安嘉新</c:v>
                </c:pt>
                <c:pt idx="19">
                  <c:v>上海博科</c:v>
                </c:pt>
                <c:pt idx="20">
                  <c:v>集客部</c:v>
                </c:pt>
                <c:pt idx="21">
                  <c:v>北京基调</c:v>
                </c:pt>
                <c:pt idx="22">
                  <c:v>微呼科技</c:v>
                </c:pt>
                <c:pt idx="23">
                  <c:v>保旺达</c:v>
                </c:pt>
                <c:pt idx="24">
                  <c:v>武汉天喻信息</c:v>
                </c:pt>
                <c:pt idx="25">
                  <c:v>大唐</c:v>
                </c:pt>
                <c:pt idx="26">
                  <c:v>赋乐</c:v>
                </c:pt>
              </c:strCache>
            </c:strRef>
          </c:cat>
          <c:val>
            <c:numRef>
              <c:f>原厂商数据图表概览!$B$4:$B$31</c:f>
              <c:numCache>
                <c:formatCode>General</c:formatCode>
                <c:ptCount val="27"/>
                <c:pt idx="0">
                  <c:v>40</c:v>
                </c:pt>
                <c:pt idx="1">
                  <c:v>16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F-4E59-ABB7-FC9F1E7075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62382989"/>
        <c:axId val="382809917"/>
      </c:barChart>
      <c:catAx>
        <c:axId val="3623829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382809917"/>
        <c:crosses val="autoZero"/>
        <c:auto val="1"/>
        <c:lblAlgn val="ctr"/>
        <c:lblOffset val="100"/>
        <c:noMultiLvlLbl val="0"/>
      </c:catAx>
      <c:valAx>
        <c:axId val="38280991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23829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</xdr:colOff>
      <xdr:row>2</xdr:row>
      <xdr:rowOff>24765</xdr:rowOff>
    </xdr:from>
    <xdr:to>
      <xdr:col>14</xdr:col>
      <xdr:colOff>37465</xdr:colOff>
      <xdr:row>20</xdr:row>
      <xdr:rowOff>200660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jc" refreshedDate="45404.4046296296" createdVersion="5" refreshedVersion="5" minRefreshableVersion="3" recordCount="129" xr:uid="{00000000-000A-0000-FFFF-FFFF00000000}">
  <cacheSource type="worksheet">
    <worksheetSource ref="H1:H130" sheet="全量能力清单"/>
  </cacheSource>
  <cacheFields count="1">
    <cacheField name="厂商" numFmtId="0">
      <sharedItems count="32">
        <s v="视频运营中心"/>
        <s v="华为"/>
        <s v="宝兰德"/>
        <s v="欣网"/>
        <s v="网络部"/>
        <s v="紫金院"/>
        <s v="上海汉得"/>
        <s v="华为/新大陆"/>
        <s v="工程部"/>
        <s v="新大陆"/>
        <s v="科大讯飞"/>
        <s v="亚信"/>
        <s v="东方国信"/>
        <s v="浪潮"/>
        <s v="瑞玥"/>
        <s v="保旺达"/>
        <s v="微呼科技"/>
        <s v="ICT"/>
        <s v="北京基调"/>
        <s v="浩鲸科技"/>
        <s v="集客部"/>
        <s v="上海博科"/>
        <s v="恒安嘉新"/>
        <s v="珠海世纪鼎利"/>
        <s v="武汉天喻信息"/>
        <s v="赋乐"/>
        <s v="大唐"/>
        <s v="数家中心" u="1"/>
        <s v="华为CRM" u="1"/>
        <s v="维护室" u="1"/>
        <s v="富勒" u="1"/>
        <s v="华为和大唐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jc" refreshedDate="45170.375185185199" createdVersion="5" refreshedVersion="5" minRefreshableVersion="3" recordCount="93" xr:uid="{00000000-000A-0000-FFFF-FFFF01000000}">
  <cacheSource type="worksheet">
    <worksheetSource ref="F1:H130" sheet="全量能力清单"/>
  </cacheSource>
  <cacheFields count="3">
    <cacheField name="归属科室" numFmtId="0">
      <sharedItems count="14">
        <s v="数分室"/>
        <s v="能拓室"/>
        <s v="紫金院"/>
        <s v="网络部"/>
        <s v="维护室"/>
        <s v="响应室"/>
        <s v="安全室"/>
        <s v="ICT"/>
        <s v="紫金院/规建室"/>
        <s v="中台室"/>
        <s v="管信室"/>
        <s v="需求室"/>
        <s v="数业中心"/>
        <s v="电渠"/>
      </sharedItems>
    </cacheField>
    <cacheField name="归属中台" numFmtId="0">
      <sharedItems count="3">
        <s v="数据中台"/>
        <s v="技术中台"/>
        <s v="业务中台"/>
      </sharedItems>
    </cacheField>
    <cacheField name="厂商" numFmtId="0">
      <sharedItems count="24">
        <s v="新大陆"/>
        <s v="紫金院"/>
        <s v="东方国信"/>
        <s v="网络部"/>
        <s v="欣网"/>
        <s v="浪潮"/>
        <s v="瑞玥"/>
        <s v="科大讯飞"/>
        <s v="亚信"/>
        <s v="保旺达"/>
        <s v="微呼科技"/>
        <s v="ICT"/>
        <s v="北京基调"/>
        <s v="浩鲸科技"/>
        <s v="集客部"/>
        <s v="上海博科"/>
        <s v="恒安嘉新"/>
        <s v="珠海世纪鼎利"/>
        <s v="宝兰德"/>
        <s v="华为"/>
        <s v="武汉天喻信息"/>
        <s v="上海汉得"/>
        <s v="赋乐"/>
        <s v="大唐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jc" refreshedDate="45250.376597222203" createdVersion="5" refreshedVersion="5" minRefreshableVersion="3" recordCount="109" xr:uid="{00000000-000A-0000-FFFF-FFFF02000000}">
  <cacheSource type="worksheet">
    <worksheetSource ref="F1:F130" sheet="全量能力清单"/>
  </cacheSource>
  <cacheFields count="1">
    <cacheField name="归属科室" numFmtId="0">
      <sharedItems count="16">
        <s v="数分室"/>
        <s v="数家中心"/>
        <s v="能拓室"/>
        <s v="管信室"/>
        <s v="响应室"/>
        <s v="需求室"/>
        <s v="紫金院"/>
        <s v="维护室"/>
        <s v="网络部"/>
        <s v="安全室"/>
        <s v="ICT"/>
        <s v="紫金院/规建室"/>
        <s v="集客部/中台室"/>
        <s v="中台室"/>
        <s v="数业中心"/>
        <s v="电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">
  <r>
    <x v="0"/>
  </r>
  <r>
    <x v="1"/>
  </r>
  <r>
    <x v="2"/>
  </r>
  <r>
    <x v="3"/>
  </r>
  <r>
    <x v="3"/>
  </r>
  <r>
    <x v="3"/>
  </r>
  <r>
    <x v="3"/>
  </r>
  <r>
    <x v="4"/>
  </r>
  <r>
    <x v="5"/>
  </r>
  <r>
    <x v="4"/>
  </r>
  <r>
    <x v="4"/>
  </r>
  <r>
    <x v="6"/>
  </r>
  <r>
    <x v="0"/>
  </r>
  <r>
    <x v="6"/>
  </r>
  <r>
    <x v="4"/>
  </r>
  <r>
    <x v="7"/>
  </r>
  <r>
    <x v="5"/>
  </r>
  <r>
    <x v="5"/>
  </r>
  <r>
    <x v="8"/>
  </r>
  <r>
    <x v="6"/>
  </r>
  <r>
    <x v="9"/>
  </r>
  <r>
    <x v="9"/>
  </r>
  <r>
    <x v="9"/>
  </r>
  <r>
    <x v="0"/>
  </r>
  <r>
    <x v="10"/>
  </r>
  <r>
    <x v="9"/>
  </r>
  <r>
    <x v="6"/>
  </r>
  <r>
    <x v="1"/>
  </r>
  <r>
    <x v="9"/>
  </r>
  <r>
    <x v="3"/>
  </r>
  <r>
    <x v="3"/>
  </r>
  <r>
    <x v="9"/>
  </r>
  <r>
    <x v="9"/>
  </r>
  <r>
    <x v="5"/>
  </r>
  <r>
    <x v="1"/>
  </r>
  <r>
    <x v="2"/>
  </r>
  <r>
    <x v="11"/>
  </r>
  <r>
    <x v="4"/>
  </r>
  <r>
    <x v="9"/>
  </r>
  <r>
    <x v="9"/>
  </r>
  <r>
    <x v="9"/>
  </r>
  <r>
    <x v="5"/>
  </r>
  <r>
    <x v="5"/>
  </r>
  <r>
    <x v="12"/>
  </r>
  <r>
    <x v="9"/>
  </r>
  <r>
    <x v="5"/>
  </r>
  <r>
    <x v="3"/>
  </r>
  <r>
    <x v="13"/>
  </r>
  <r>
    <x v="13"/>
  </r>
  <r>
    <x v="13"/>
  </r>
  <r>
    <x v="14"/>
  </r>
  <r>
    <x v="9"/>
  </r>
  <r>
    <x v="10"/>
  </r>
  <r>
    <x v="9"/>
  </r>
  <r>
    <x v="13"/>
  </r>
  <r>
    <x v="14"/>
  </r>
  <r>
    <x v="11"/>
  </r>
  <r>
    <x v="15"/>
  </r>
  <r>
    <x v="16"/>
  </r>
  <r>
    <x v="9"/>
  </r>
  <r>
    <x v="12"/>
  </r>
  <r>
    <x v="9"/>
  </r>
  <r>
    <x v="9"/>
  </r>
  <r>
    <x v="9"/>
  </r>
  <r>
    <x v="9"/>
  </r>
  <r>
    <x v="11"/>
  </r>
  <r>
    <x v="4"/>
  </r>
  <r>
    <x v="4"/>
  </r>
  <r>
    <x v="17"/>
  </r>
  <r>
    <x v="12"/>
  </r>
  <r>
    <x v="9"/>
  </r>
  <r>
    <x v="9"/>
  </r>
  <r>
    <x v="5"/>
  </r>
  <r>
    <x v="18"/>
  </r>
  <r>
    <x v="19"/>
  </r>
  <r>
    <x v="19"/>
  </r>
  <r>
    <x v="3"/>
  </r>
  <r>
    <x v="9"/>
  </r>
  <r>
    <x v="9"/>
  </r>
  <r>
    <x v="20"/>
  </r>
  <r>
    <x v="21"/>
  </r>
  <r>
    <x v="3"/>
  </r>
  <r>
    <x v="22"/>
  </r>
  <r>
    <x v="9"/>
  </r>
  <r>
    <x v="9"/>
  </r>
  <r>
    <x v="13"/>
  </r>
  <r>
    <x v="3"/>
  </r>
  <r>
    <x v="13"/>
  </r>
  <r>
    <x v="23"/>
  </r>
  <r>
    <x v="9"/>
  </r>
  <r>
    <x v="14"/>
  </r>
  <r>
    <x v="13"/>
  </r>
  <r>
    <x v="9"/>
  </r>
  <r>
    <x v="3"/>
  </r>
  <r>
    <x v="9"/>
  </r>
  <r>
    <x v="9"/>
  </r>
  <r>
    <x v="17"/>
  </r>
  <r>
    <x v="17"/>
  </r>
  <r>
    <x v="11"/>
  </r>
  <r>
    <x v="9"/>
  </r>
  <r>
    <x v="2"/>
  </r>
  <r>
    <x v="1"/>
  </r>
  <r>
    <x v="24"/>
  </r>
  <r>
    <x v="6"/>
  </r>
  <r>
    <x v="9"/>
  </r>
  <r>
    <x v="9"/>
  </r>
  <r>
    <x v="9"/>
  </r>
  <r>
    <x v="19"/>
  </r>
  <r>
    <x v="9"/>
  </r>
  <r>
    <x v="9"/>
  </r>
  <r>
    <x v="2"/>
  </r>
  <r>
    <x v="11"/>
  </r>
  <r>
    <x v="3"/>
  </r>
  <r>
    <x v="11"/>
  </r>
  <r>
    <x v="9"/>
  </r>
  <r>
    <x v="3"/>
  </r>
  <r>
    <x v="3"/>
  </r>
  <r>
    <x v="25"/>
  </r>
  <r>
    <x v="3"/>
  </r>
  <r>
    <x v="2"/>
  </r>
  <r>
    <x v="14"/>
  </r>
  <r>
    <x v="9"/>
  </r>
  <r>
    <x v="9"/>
  </r>
  <r>
    <x v="9"/>
  </r>
  <r>
    <x v="9"/>
  </r>
  <r>
    <x v="9"/>
  </r>
  <r>
    <x v="26"/>
  </r>
  <r>
    <x v="3"/>
  </r>
  <r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"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9">
  <r>
    <x v="0"/>
  </r>
  <r>
    <x v="0"/>
  </r>
  <r>
    <x v="0"/>
  </r>
  <r>
    <x v="1"/>
  </r>
  <r>
    <x v="0"/>
  </r>
  <r>
    <x v="2"/>
  </r>
  <r>
    <x v="3"/>
  </r>
  <r>
    <x v="4"/>
  </r>
  <r>
    <x v="2"/>
  </r>
  <r>
    <x v="2"/>
  </r>
  <r>
    <x v="2"/>
  </r>
  <r>
    <x v="5"/>
  </r>
  <r>
    <x v="4"/>
  </r>
  <r>
    <x v="6"/>
  </r>
  <r>
    <x v="7"/>
  </r>
  <r>
    <x v="7"/>
  </r>
  <r>
    <x v="7"/>
  </r>
  <r>
    <x v="8"/>
  </r>
  <r>
    <x v="4"/>
  </r>
  <r>
    <x v="0"/>
  </r>
  <r>
    <x v="2"/>
  </r>
  <r>
    <x v="6"/>
  </r>
  <r>
    <x v="6"/>
  </r>
  <r>
    <x v="0"/>
  </r>
  <r>
    <x v="0"/>
  </r>
  <r>
    <x v="8"/>
  </r>
  <r>
    <x v="7"/>
  </r>
  <r>
    <x v="0"/>
  </r>
  <r>
    <x v="0"/>
  </r>
  <r>
    <x v="0"/>
  </r>
  <r>
    <x v="0"/>
  </r>
  <r>
    <x v="0"/>
  </r>
  <r>
    <x v="0"/>
  </r>
  <r>
    <x v="4"/>
  </r>
  <r>
    <x v="2"/>
  </r>
  <r>
    <x v="0"/>
  </r>
  <r>
    <x v="9"/>
  </r>
  <r>
    <x v="9"/>
  </r>
  <r>
    <x v="0"/>
  </r>
  <r>
    <x v="0"/>
  </r>
  <r>
    <x v="0"/>
  </r>
  <r>
    <x v="0"/>
  </r>
  <r>
    <x v="0"/>
  </r>
  <r>
    <x v="0"/>
  </r>
  <r>
    <x v="0"/>
  </r>
  <r>
    <x v="9"/>
  </r>
  <r>
    <x v="8"/>
  </r>
  <r>
    <x v="8"/>
  </r>
  <r>
    <x v="10"/>
  </r>
  <r>
    <x v="0"/>
  </r>
  <r>
    <x v="0"/>
  </r>
  <r>
    <x v="0"/>
  </r>
  <r>
    <x v="11"/>
  </r>
  <r>
    <x v="3"/>
  </r>
  <r>
    <x v="0"/>
  </r>
  <r>
    <x v="0"/>
  </r>
  <r>
    <x v="2"/>
  </r>
  <r>
    <x v="2"/>
  </r>
  <r>
    <x v="2"/>
  </r>
  <r>
    <x v="12"/>
  </r>
  <r>
    <x v="3"/>
  </r>
  <r>
    <x v="2"/>
  </r>
  <r>
    <x v="0"/>
  </r>
  <r>
    <x v="2"/>
  </r>
  <r>
    <x v="2"/>
  </r>
  <r>
    <x v="2"/>
  </r>
  <r>
    <x v="2"/>
  </r>
  <r>
    <x v="2"/>
  </r>
  <r>
    <x v="8"/>
  </r>
  <r>
    <x v="7"/>
  </r>
  <r>
    <x v="13"/>
  </r>
  <r>
    <x v="2"/>
  </r>
  <r>
    <x v="2"/>
  </r>
  <r>
    <x v="2"/>
  </r>
  <r>
    <x v="5"/>
  </r>
  <r>
    <x v="5"/>
  </r>
  <r>
    <x v="12"/>
  </r>
  <r>
    <x v="12"/>
  </r>
  <r>
    <x v="7"/>
  </r>
  <r>
    <x v="7"/>
  </r>
  <r>
    <x v="7"/>
  </r>
  <r>
    <x v="7"/>
  </r>
  <r>
    <x v="14"/>
  </r>
  <r>
    <x v="3"/>
  </r>
  <r>
    <x v="0"/>
  </r>
  <r>
    <x v="0"/>
  </r>
  <r>
    <x v="7"/>
  </r>
  <r>
    <x v="5"/>
  </r>
  <r>
    <x v="0"/>
  </r>
  <r>
    <x v="0"/>
  </r>
  <r>
    <x v="7"/>
  </r>
  <r>
    <x v="7"/>
  </r>
  <r>
    <x v="15"/>
  </r>
  <r>
    <x v="5"/>
  </r>
  <r>
    <x v="2"/>
  </r>
  <r>
    <x v="5"/>
  </r>
  <r>
    <x v="5"/>
  </r>
  <r>
    <x v="0"/>
  </r>
  <r>
    <x v="5"/>
  </r>
  <r>
    <x v="7"/>
  </r>
  <r>
    <x v="5"/>
  </r>
  <r>
    <x v="0"/>
  </r>
  <r>
    <x v="0"/>
  </r>
  <r>
    <x v="0"/>
  </r>
  <r>
    <x v="3"/>
  </r>
  <r>
    <x v="5"/>
  </r>
  <r>
    <x v="5"/>
  </r>
  <r>
    <x v="5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2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3:B20" firstHeaderRow="1" firstDataRow="1" firstDataCol="1"/>
  <pivotFields count="1">
    <pivotField axis="axisRow" dataField="1" compact="0" multipleItemSelectionAllowed="1" showAll="0" sortType="descending">
      <items count="17">
        <item x="10"/>
        <item x="9"/>
        <item x="15"/>
        <item x="3"/>
        <item x="12"/>
        <item x="2"/>
        <item x="0"/>
        <item x="14"/>
        <item x="8"/>
        <item x="7"/>
        <item x="4"/>
        <item x="5"/>
        <item x="13"/>
        <item x="6"/>
        <item x="11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7">
    <i>
      <x v="6"/>
    </i>
    <i>
      <x v="5"/>
    </i>
    <i>
      <x v="9"/>
    </i>
    <i>
      <x v="11"/>
    </i>
    <i>
      <x v="8"/>
    </i>
    <i>
      <x v="3"/>
    </i>
    <i>
      <x v="10"/>
    </i>
    <i>
      <x v="13"/>
    </i>
    <i>
      <x v="4"/>
    </i>
    <i>
      <x v="1"/>
    </i>
    <i>
      <x v="15"/>
    </i>
    <i>
      <x v="14"/>
    </i>
    <i>
      <x v="12"/>
    </i>
    <i>
      <x v="7"/>
    </i>
    <i>
      <x v="2"/>
    </i>
    <i>
      <x/>
    </i>
    <i t="grand">
      <x/>
    </i>
  </rowItems>
  <colItems count="1">
    <i/>
  </colItems>
  <dataFields count="1">
    <dataField name="计数项:归属科室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数据透视表9" cacheId="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3:B31" firstHeaderRow="1" firstDataRow="1" firstDataCol="1"/>
  <pivotFields count="1">
    <pivotField axis="axisRow" dataField="1" compact="0" showAll="0" sortType="descending">
      <items count="33">
        <item x="11"/>
        <item x="9"/>
        <item x="3"/>
        <item x="14"/>
        <item m="1" x="31"/>
        <item x="19"/>
        <item x="25"/>
        <item m="1" x="30"/>
        <item x="26"/>
        <item x="2"/>
        <item x="6"/>
        <item x="17"/>
        <item x="1"/>
        <item x="24"/>
        <item x="13"/>
        <item x="15"/>
        <item x="16"/>
        <item x="12"/>
        <item x="5"/>
        <item x="4"/>
        <item x="18"/>
        <item x="20"/>
        <item x="21"/>
        <item x="22"/>
        <item x="23"/>
        <item x="10"/>
        <item m="1" x="29"/>
        <item m="1" x="27"/>
        <item m="1" x="28"/>
        <item x="0"/>
        <item x="7"/>
        <item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8">
    <i>
      <x v="1"/>
    </i>
    <i>
      <x v="2"/>
    </i>
    <i>
      <x v="18"/>
    </i>
    <i>
      <x v="19"/>
    </i>
    <i>
      <x v="14"/>
    </i>
    <i>
      <x/>
    </i>
    <i>
      <x v="10"/>
    </i>
    <i>
      <x v="9"/>
    </i>
    <i>
      <x v="12"/>
    </i>
    <i>
      <x v="5"/>
    </i>
    <i>
      <x v="3"/>
    </i>
    <i>
      <x v="29"/>
    </i>
    <i>
      <x v="17"/>
    </i>
    <i>
      <x v="11"/>
    </i>
    <i>
      <x v="25"/>
    </i>
    <i>
      <x v="31"/>
    </i>
    <i>
      <x v="30"/>
    </i>
    <i>
      <x v="24"/>
    </i>
    <i>
      <x v="23"/>
    </i>
    <i>
      <x v="22"/>
    </i>
    <i>
      <x v="21"/>
    </i>
    <i>
      <x v="20"/>
    </i>
    <i>
      <x v="16"/>
    </i>
    <i>
      <x v="15"/>
    </i>
    <i>
      <x v="13"/>
    </i>
    <i>
      <x v="8"/>
    </i>
    <i>
      <x v="6"/>
    </i>
    <i t="grand">
      <x/>
    </i>
  </rowItems>
  <colItems count="1">
    <i/>
  </colItems>
  <dataFields count="1">
    <dataField name="计数项:厂商" fld="0" subtotal="count" baseField="0" baseItem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数据透视表1" cacheId="1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36:C49" firstHeaderRow="1" firstDataRow="1" firstDataCol="2"/>
  <pivotFields count="3">
    <pivotField axis="axisRow" dataField="1" compact="0" multipleItemSelectionAllowed="1" showAll="0" sortType="descending">
      <items count="15">
        <item h="1" x="7"/>
        <item x="6"/>
        <item h="1" x="13"/>
        <item x="10"/>
        <item x="1"/>
        <item x="0"/>
        <item h="1" x="12"/>
        <item h="1" x="3"/>
        <item x="4"/>
        <item x="5"/>
        <item x="11"/>
        <item x="9"/>
        <item h="1" x="2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25">
        <item h="1" x="11"/>
        <item h="1" x="18"/>
        <item h="1" x="9"/>
        <item h="1" x="12"/>
        <item h="1" x="23"/>
        <item h="1" x="2"/>
        <item h="1" x="22"/>
        <item h="1" x="13"/>
        <item h="1" x="16"/>
        <item h="1" x="19"/>
        <item h="1" x="14"/>
        <item h="1" x="7"/>
        <item h="1" x="5"/>
        <item h="1" x="6"/>
        <item h="1" x="15"/>
        <item h="1" x="21"/>
        <item h="1" x="3"/>
        <item h="1" x="10"/>
        <item h="1" x="20"/>
        <item h="1" x="4"/>
        <item x="0"/>
        <item h="1" x="8"/>
        <item h="1" x="17"/>
        <item h="1" x="1"/>
        <item t="default"/>
      </items>
    </pivotField>
  </pivotFields>
  <rowFields count="2">
    <field x="0"/>
    <field x="2"/>
  </rowFields>
  <rowItems count="13">
    <i>
      <x v="5"/>
    </i>
    <i r="1">
      <x v="20"/>
    </i>
    <i>
      <x v="4"/>
    </i>
    <i r="1">
      <x v="20"/>
    </i>
    <i>
      <x v="10"/>
    </i>
    <i r="1">
      <x v="20"/>
    </i>
    <i>
      <x v="8"/>
    </i>
    <i r="1">
      <x v="20"/>
    </i>
    <i>
      <x v="9"/>
    </i>
    <i r="1">
      <x v="20"/>
    </i>
    <i>
      <x v="3"/>
    </i>
    <i r="1">
      <x v="20"/>
    </i>
    <i t="grand">
      <x/>
    </i>
  </rowItems>
  <colItems count="1">
    <i/>
  </colItems>
  <dataFields count="1">
    <dataField name="计数项:归属科室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guqiang@js.chinamobile.com" TargetMode="External"/><Relationship Id="rId18" Type="http://schemas.openxmlformats.org/officeDocument/2006/relationships/hyperlink" Target="mailto:chenleisgs1@js.chinamobile.com" TargetMode="External"/><Relationship Id="rId26" Type="http://schemas.openxmlformats.org/officeDocument/2006/relationships/hyperlink" Target="mailto:chenleisgs1@js.chinamobile.com" TargetMode="External"/><Relationship Id="rId39" Type="http://schemas.openxmlformats.org/officeDocument/2006/relationships/hyperlink" Target="mailto:xukui9@js.chinamobile.com" TargetMode="External"/><Relationship Id="rId21" Type="http://schemas.openxmlformats.org/officeDocument/2006/relationships/hyperlink" Target="mailto:pangzhen@js.chinamobile.com" TargetMode="External"/><Relationship Id="rId34" Type="http://schemas.openxmlformats.org/officeDocument/2006/relationships/hyperlink" Target="mailto:guqiang@js.chinamobile.com" TargetMode="External"/><Relationship Id="rId42" Type="http://schemas.openxmlformats.org/officeDocument/2006/relationships/hyperlink" Target="mailto:chenleisgs1@js.chinamobile.com" TargetMode="External"/><Relationship Id="rId47" Type="http://schemas.openxmlformats.org/officeDocument/2006/relationships/hyperlink" Target="mailto:yangxiaohua@js.chinamobile.com" TargetMode="External"/><Relationship Id="rId50" Type="http://schemas.openxmlformats.org/officeDocument/2006/relationships/hyperlink" Target="mailto:zhouweisgs@js.chinamobile.com" TargetMode="External"/><Relationship Id="rId55" Type="http://schemas.openxmlformats.org/officeDocument/2006/relationships/hyperlink" Target="mailto:zangzw@js.chinamobile.com" TargetMode="External"/><Relationship Id="rId63" Type="http://schemas.openxmlformats.org/officeDocument/2006/relationships/hyperlink" Target="mailto:jinxinghai@js.chinamobile.com" TargetMode="External"/><Relationship Id="rId68" Type="http://schemas.openxmlformats.org/officeDocument/2006/relationships/hyperlink" Target="mailto:liyangsgs@js.chinamobile.com" TargetMode="External"/><Relationship Id="rId76" Type="http://schemas.openxmlformats.org/officeDocument/2006/relationships/hyperlink" Target="mailto:fanjie@js.chinamobile.com" TargetMode="External"/><Relationship Id="rId7" Type="http://schemas.openxmlformats.org/officeDocument/2006/relationships/hyperlink" Target="mailto:sunyuanyuan@js.chinamobile.com" TargetMode="External"/><Relationship Id="rId71" Type="http://schemas.openxmlformats.org/officeDocument/2006/relationships/hyperlink" Target="mailto:guqiang@js.chinamobile.com" TargetMode="External"/><Relationship Id="rId2" Type="http://schemas.openxmlformats.org/officeDocument/2006/relationships/hyperlink" Target="mailto:liruisgs2@js.chinamobile.com" TargetMode="External"/><Relationship Id="rId16" Type="http://schemas.openxmlformats.org/officeDocument/2006/relationships/hyperlink" Target="mailto:chenpf9@js.chinamobile.com" TargetMode="External"/><Relationship Id="rId29" Type="http://schemas.openxmlformats.org/officeDocument/2006/relationships/hyperlink" Target="mailto:xukui9@js.chinamobile.com" TargetMode="External"/><Relationship Id="rId11" Type="http://schemas.openxmlformats.org/officeDocument/2006/relationships/hyperlink" Target="mailto:liuzhisgs@js.chinamobile.com" TargetMode="External"/><Relationship Id="rId24" Type="http://schemas.openxmlformats.org/officeDocument/2006/relationships/hyperlink" Target="mailto:zhufusgs@js.chinamobile.com" TargetMode="External"/><Relationship Id="rId32" Type="http://schemas.openxmlformats.org/officeDocument/2006/relationships/hyperlink" Target="mailto:chenxiaofeng@js.chinamobile.com" TargetMode="External"/><Relationship Id="rId37" Type="http://schemas.openxmlformats.org/officeDocument/2006/relationships/hyperlink" Target="mailto:wangyingsgs2@js.chinamobile.com" TargetMode="External"/><Relationship Id="rId40" Type="http://schemas.openxmlformats.org/officeDocument/2006/relationships/hyperlink" Target="mailto:wangxueliang@js.chinamobile.com" TargetMode="External"/><Relationship Id="rId45" Type="http://schemas.openxmlformats.org/officeDocument/2006/relationships/hyperlink" Target="mailto:sunyuanyuan@js.chinamobile.com" TargetMode="External"/><Relationship Id="rId53" Type="http://schemas.openxmlformats.org/officeDocument/2006/relationships/hyperlink" Target="mailto:zhuchunping@js.chinamobile.com" TargetMode="External"/><Relationship Id="rId58" Type="http://schemas.openxmlformats.org/officeDocument/2006/relationships/hyperlink" Target="mailto:lucz@js.chinamobile.com" TargetMode="External"/><Relationship Id="rId66" Type="http://schemas.openxmlformats.org/officeDocument/2006/relationships/hyperlink" Target="mailto:yuxh@js.chinamobile.com" TargetMode="External"/><Relationship Id="rId74" Type="http://schemas.openxmlformats.org/officeDocument/2006/relationships/hyperlink" Target="mailto:liyujie@js.chinamobile.com" TargetMode="External"/><Relationship Id="rId79" Type="http://schemas.openxmlformats.org/officeDocument/2006/relationships/hyperlink" Target="mailto:zhouweisgs@js.chinamobile.com" TargetMode="External"/><Relationship Id="rId5" Type="http://schemas.openxmlformats.org/officeDocument/2006/relationships/hyperlink" Target="mailto:lisc@js.chinamobile.com" TargetMode="External"/><Relationship Id="rId61" Type="http://schemas.openxmlformats.org/officeDocument/2006/relationships/hyperlink" Target="mailto:zhangnianqisgs@js.chinamobile.com" TargetMode="External"/><Relationship Id="rId10" Type="http://schemas.openxmlformats.org/officeDocument/2006/relationships/hyperlink" Target="mailto:wuzukang@js.chinamobile.com" TargetMode="External"/><Relationship Id="rId19" Type="http://schemas.openxmlformats.org/officeDocument/2006/relationships/hyperlink" Target="mailto:yangminjing@js.chinamobile.com" TargetMode="External"/><Relationship Id="rId31" Type="http://schemas.openxmlformats.org/officeDocument/2006/relationships/hyperlink" Target="mailto:chenrp@js.chinamobile.com" TargetMode="External"/><Relationship Id="rId44" Type="http://schemas.openxmlformats.org/officeDocument/2006/relationships/hyperlink" Target="mailto:chenpf9@js.chinamobile.com" TargetMode="External"/><Relationship Id="rId52" Type="http://schemas.openxmlformats.org/officeDocument/2006/relationships/hyperlink" Target="mailto:zhangyansgs5@js.chinamobile.com" TargetMode="External"/><Relationship Id="rId60" Type="http://schemas.openxmlformats.org/officeDocument/2006/relationships/hyperlink" Target="mailto:wuzukang@js.chinamobile.com" TargetMode="External"/><Relationship Id="rId65" Type="http://schemas.openxmlformats.org/officeDocument/2006/relationships/hyperlink" Target="mailto:guqiang@js.chinamobile.com" TargetMode="External"/><Relationship Id="rId73" Type="http://schemas.openxmlformats.org/officeDocument/2006/relationships/hyperlink" Target="mailto:niuyuan@js.chinamobile.com" TargetMode="External"/><Relationship Id="rId78" Type="http://schemas.openxmlformats.org/officeDocument/2006/relationships/hyperlink" Target="mailto:fanjie@js.chinamobile.com" TargetMode="External"/><Relationship Id="rId4" Type="http://schemas.openxmlformats.org/officeDocument/2006/relationships/hyperlink" Target="mailto:lisc@js.chinamobile.com" TargetMode="External"/><Relationship Id="rId9" Type="http://schemas.openxmlformats.org/officeDocument/2006/relationships/hyperlink" Target="mailto:liuliangsgs@js.chinamobile.com" TargetMode="External"/><Relationship Id="rId14" Type="http://schemas.openxmlformats.org/officeDocument/2006/relationships/hyperlink" Target="mailto:guqiang@js.chinamobile.com" TargetMode="External"/><Relationship Id="rId22" Type="http://schemas.openxmlformats.org/officeDocument/2006/relationships/hyperlink" Target="mailto:jiangxiaoyu@js.chinamobile.com" TargetMode="External"/><Relationship Id="rId27" Type="http://schemas.openxmlformats.org/officeDocument/2006/relationships/hyperlink" Target="mailto:xukui9@js.chinamobile.com" TargetMode="External"/><Relationship Id="rId30" Type="http://schemas.openxmlformats.org/officeDocument/2006/relationships/hyperlink" Target="mailto:xukui9@js.chinamobile.com" TargetMode="External"/><Relationship Id="rId35" Type="http://schemas.openxmlformats.org/officeDocument/2006/relationships/hyperlink" Target="mailto:guqiang@js.chinamobile.com" TargetMode="External"/><Relationship Id="rId43" Type="http://schemas.openxmlformats.org/officeDocument/2006/relationships/hyperlink" Target="mailto:chenpf9@js.chinamobile.com" TargetMode="External"/><Relationship Id="rId48" Type="http://schemas.openxmlformats.org/officeDocument/2006/relationships/hyperlink" Target="mailto:niuyuan@js.chinamobile.com" TargetMode="External"/><Relationship Id="rId56" Type="http://schemas.openxmlformats.org/officeDocument/2006/relationships/hyperlink" Target="mailto:jinbo@js.chinamobile.com" TargetMode="External"/><Relationship Id="rId64" Type="http://schemas.openxmlformats.org/officeDocument/2006/relationships/hyperlink" Target="mailto:dengchaosgs@js.chinamobile.com" TargetMode="External"/><Relationship Id="rId69" Type="http://schemas.openxmlformats.org/officeDocument/2006/relationships/hyperlink" Target="mailto:huwenwensgs@js.chinamobile.com" TargetMode="External"/><Relationship Id="rId77" Type="http://schemas.openxmlformats.org/officeDocument/2006/relationships/hyperlink" Target="mailto:fanjie@js.chinamobile.com" TargetMode="External"/><Relationship Id="rId8" Type="http://schemas.openxmlformats.org/officeDocument/2006/relationships/hyperlink" Target="mailto:liuliangsgs@js.chinamobile.com" TargetMode="External"/><Relationship Id="rId51" Type="http://schemas.openxmlformats.org/officeDocument/2006/relationships/hyperlink" Target="mailto:tianguoliang@js.chinamobile.com" TargetMode="External"/><Relationship Id="rId72" Type="http://schemas.openxmlformats.org/officeDocument/2006/relationships/hyperlink" Target="mailto:lucz@js.chinamobile.com" TargetMode="External"/><Relationship Id="rId80" Type="http://schemas.openxmlformats.org/officeDocument/2006/relationships/hyperlink" Target="mailto:licai@js.chinamobile.com" TargetMode="External"/><Relationship Id="rId3" Type="http://schemas.openxmlformats.org/officeDocument/2006/relationships/hyperlink" Target="mailto:fanqiaoyun@js.chinamobile.com" TargetMode="External"/><Relationship Id="rId12" Type="http://schemas.openxmlformats.org/officeDocument/2006/relationships/hyperlink" Target="mailto:daihanyi@js.chinamobile.com" TargetMode="External"/><Relationship Id="rId17" Type="http://schemas.openxmlformats.org/officeDocument/2006/relationships/hyperlink" Target="mailto:huancheng@js.chinamobile.com" TargetMode="External"/><Relationship Id="rId25" Type="http://schemas.openxmlformats.org/officeDocument/2006/relationships/hyperlink" Target="mailto:chenxiaofeng@js.chinamobile.com" TargetMode="External"/><Relationship Id="rId33" Type="http://schemas.openxmlformats.org/officeDocument/2006/relationships/hyperlink" Target="mailto:pangzhen@js.chinamobile.com" TargetMode="External"/><Relationship Id="rId38" Type="http://schemas.openxmlformats.org/officeDocument/2006/relationships/hyperlink" Target="mailto:yangshusgs@js.chinamobile.com" TargetMode="External"/><Relationship Id="rId46" Type="http://schemas.openxmlformats.org/officeDocument/2006/relationships/hyperlink" Target="mailto:qianyingxing@js.chinamobile.com" TargetMode="External"/><Relationship Id="rId59" Type="http://schemas.openxmlformats.org/officeDocument/2006/relationships/hyperlink" Target="mailto:chenxiasgs@js.chinamobile.com" TargetMode="External"/><Relationship Id="rId67" Type="http://schemas.openxmlformats.org/officeDocument/2006/relationships/hyperlink" Target="mailto:liyangsgs@js.chinamobile.com" TargetMode="External"/><Relationship Id="rId20" Type="http://schemas.openxmlformats.org/officeDocument/2006/relationships/hyperlink" Target="mailto:lutianjun@js.chinamobile.com" TargetMode="External"/><Relationship Id="rId41" Type="http://schemas.openxmlformats.org/officeDocument/2006/relationships/hyperlink" Target="mailto:wangjuansgs3@js.chinamobile.com" TargetMode="External"/><Relationship Id="rId54" Type="http://schemas.openxmlformats.org/officeDocument/2006/relationships/hyperlink" Target="mailto:zhuchunping@js.chinamobile.com" TargetMode="External"/><Relationship Id="rId62" Type="http://schemas.openxmlformats.org/officeDocument/2006/relationships/hyperlink" Target="mailto:lisc@js.chinamobile.com" TargetMode="External"/><Relationship Id="rId70" Type="http://schemas.openxmlformats.org/officeDocument/2006/relationships/hyperlink" Target="mailto:linlinsgs2@js.chinamobile.com" TargetMode="External"/><Relationship Id="rId75" Type="http://schemas.openxmlformats.org/officeDocument/2006/relationships/hyperlink" Target="mailto:fanjie@js.chinamobile.com" TargetMode="External"/><Relationship Id="rId1" Type="http://schemas.openxmlformats.org/officeDocument/2006/relationships/hyperlink" Target="mailto:wangcb@js.chinamobile.com" TargetMode="External"/><Relationship Id="rId6" Type="http://schemas.openxmlformats.org/officeDocument/2006/relationships/hyperlink" Target="mailto:zhouzhikun@js.chinamobile.com" TargetMode="External"/><Relationship Id="rId15" Type="http://schemas.openxmlformats.org/officeDocument/2006/relationships/hyperlink" Target="mailto:liulijunsgs@js.chinamobile.com" TargetMode="External"/><Relationship Id="rId23" Type="http://schemas.openxmlformats.org/officeDocument/2006/relationships/hyperlink" Target="mailto:chenrp@js.chinamobile.com" TargetMode="External"/><Relationship Id="rId28" Type="http://schemas.openxmlformats.org/officeDocument/2006/relationships/hyperlink" Target="mailto:xukui9@js.chinamobile.com" TargetMode="External"/><Relationship Id="rId36" Type="http://schemas.openxmlformats.org/officeDocument/2006/relationships/hyperlink" Target="mailto:guqiang@js.chinamobile.com" TargetMode="External"/><Relationship Id="rId49" Type="http://schemas.openxmlformats.org/officeDocument/2006/relationships/hyperlink" Target="mailto:shenghonglei@js.chinamobile.com" TargetMode="External"/><Relationship Id="rId57" Type="http://schemas.openxmlformats.org/officeDocument/2006/relationships/hyperlink" Target="mailto:shuaiminsgs@js.chinamobil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ianmiaosgs@js.chinamobile.com" TargetMode="External"/><Relationship Id="rId13" Type="http://schemas.openxmlformats.org/officeDocument/2006/relationships/hyperlink" Target="mailto:daihanyi@js.chinamobile.com" TargetMode="External"/><Relationship Id="rId18" Type="http://schemas.openxmlformats.org/officeDocument/2006/relationships/hyperlink" Target="mailto:chenpf9@js.chinamobile.com" TargetMode="External"/><Relationship Id="rId26" Type="http://schemas.openxmlformats.org/officeDocument/2006/relationships/hyperlink" Target="mailto:luhao@js.chinamobile.com" TargetMode="External"/><Relationship Id="rId3" Type="http://schemas.openxmlformats.org/officeDocument/2006/relationships/hyperlink" Target="mailto:fanqiaoyun@js.chinamobile.com" TargetMode="External"/><Relationship Id="rId21" Type="http://schemas.openxmlformats.org/officeDocument/2006/relationships/hyperlink" Target="mailto:yangminjing@js.chinamobile.com" TargetMode="External"/><Relationship Id="rId34" Type="http://schemas.openxmlformats.org/officeDocument/2006/relationships/hyperlink" Target="mailto:chenrp@js.chinamobile.com" TargetMode="External"/><Relationship Id="rId7" Type="http://schemas.openxmlformats.org/officeDocument/2006/relationships/hyperlink" Target="mailto:sunyuanyuan@js.chinamobile.com" TargetMode="External"/><Relationship Id="rId12" Type="http://schemas.openxmlformats.org/officeDocument/2006/relationships/hyperlink" Target="mailto:liuzhisgs@js.chinamobile.com" TargetMode="External"/><Relationship Id="rId17" Type="http://schemas.openxmlformats.org/officeDocument/2006/relationships/hyperlink" Target="mailto:liulijunsgs@js.chinamobile.com" TargetMode="External"/><Relationship Id="rId25" Type="http://schemas.openxmlformats.org/officeDocument/2006/relationships/hyperlink" Target="mailto:chenrp@js.chinamobile.com" TargetMode="External"/><Relationship Id="rId33" Type="http://schemas.openxmlformats.org/officeDocument/2006/relationships/hyperlink" Target="mailto:xukui9@js.chinamobile.com" TargetMode="External"/><Relationship Id="rId2" Type="http://schemas.openxmlformats.org/officeDocument/2006/relationships/hyperlink" Target="mailto:liruisgs2@js.chinamobile.com" TargetMode="External"/><Relationship Id="rId16" Type="http://schemas.openxmlformats.org/officeDocument/2006/relationships/hyperlink" Target="mailto:suchang@js.chinamobile.com" TargetMode="External"/><Relationship Id="rId20" Type="http://schemas.openxmlformats.org/officeDocument/2006/relationships/hyperlink" Target="mailto:chenleisgs1@js.chinamobile.com" TargetMode="External"/><Relationship Id="rId29" Type="http://schemas.openxmlformats.org/officeDocument/2006/relationships/hyperlink" Target="mailto:chenleisgs1@js.chinamobile.com" TargetMode="External"/><Relationship Id="rId1" Type="http://schemas.openxmlformats.org/officeDocument/2006/relationships/hyperlink" Target="mailto:wangcb@js.chinamobile.com" TargetMode="External"/><Relationship Id="rId6" Type="http://schemas.openxmlformats.org/officeDocument/2006/relationships/hyperlink" Target="mailto:zhouzhikun@js.chinamobile.com" TargetMode="External"/><Relationship Id="rId11" Type="http://schemas.openxmlformats.org/officeDocument/2006/relationships/hyperlink" Target="mailto:wuzukang@js.chinamobile.com" TargetMode="External"/><Relationship Id="rId24" Type="http://schemas.openxmlformats.org/officeDocument/2006/relationships/hyperlink" Target="mailto:jiangxiaoyu@js.chinamobile.com" TargetMode="External"/><Relationship Id="rId32" Type="http://schemas.openxmlformats.org/officeDocument/2006/relationships/hyperlink" Target="mailto:xukui9@js.chinamobile.com" TargetMode="External"/><Relationship Id="rId5" Type="http://schemas.openxmlformats.org/officeDocument/2006/relationships/hyperlink" Target="mailto:lisc@js.chinamobile.com" TargetMode="External"/><Relationship Id="rId15" Type="http://schemas.openxmlformats.org/officeDocument/2006/relationships/hyperlink" Target="mailto:guqiang@js.chinamobile.com" TargetMode="External"/><Relationship Id="rId23" Type="http://schemas.openxmlformats.org/officeDocument/2006/relationships/hyperlink" Target="mailto:pangzhen@js.chinamobile.com" TargetMode="External"/><Relationship Id="rId28" Type="http://schemas.openxmlformats.org/officeDocument/2006/relationships/hyperlink" Target="mailto:chenxiaofeng@js.chinamobile.com" TargetMode="External"/><Relationship Id="rId10" Type="http://schemas.openxmlformats.org/officeDocument/2006/relationships/hyperlink" Target="mailto:liuliangsgs@js.chinamobile.com" TargetMode="External"/><Relationship Id="rId19" Type="http://schemas.openxmlformats.org/officeDocument/2006/relationships/hyperlink" Target="mailto:huancheng@js.chinamobile.com" TargetMode="External"/><Relationship Id="rId31" Type="http://schemas.openxmlformats.org/officeDocument/2006/relationships/hyperlink" Target="mailto:xukui9@js.chinamobile.com" TargetMode="External"/><Relationship Id="rId4" Type="http://schemas.openxmlformats.org/officeDocument/2006/relationships/hyperlink" Target="mailto:lisc@js.chinamobile.com" TargetMode="External"/><Relationship Id="rId9" Type="http://schemas.openxmlformats.org/officeDocument/2006/relationships/hyperlink" Target="mailto:liuliangsgs@js.chinamobile.com" TargetMode="External"/><Relationship Id="rId14" Type="http://schemas.openxmlformats.org/officeDocument/2006/relationships/hyperlink" Target="mailto:guqiang@js.chinamobile.com" TargetMode="External"/><Relationship Id="rId22" Type="http://schemas.openxmlformats.org/officeDocument/2006/relationships/hyperlink" Target="mailto:lutianjun@js.chinamobile.com" TargetMode="External"/><Relationship Id="rId27" Type="http://schemas.openxmlformats.org/officeDocument/2006/relationships/hyperlink" Target="mailto:zhufusgs@js.chinamobile.com" TargetMode="External"/><Relationship Id="rId30" Type="http://schemas.openxmlformats.org/officeDocument/2006/relationships/hyperlink" Target="mailto:xukui9@js.chinamobile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xukui9@js.chinamobile.com" TargetMode="External"/><Relationship Id="rId13" Type="http://schemas.openxmlformats.org/officeDocument/2006/relationships/hyperlink" Target="mailto:sunyuanyuan@js.chinamobile.com" TargetMode="External"/><Relationship Id="rId18" Type="http://schemas.openxmlformats.org/officeDocument/2006/relationships/hyperlink" Target="mailto:zhangyansgs5@js.chinamobile.com" TargetMode="External"/><Relationship Id="rId26" Type="http://schemas.openxmlformats.org/officeDocument/2006/relationships/hyperlink" Target="mailto:wuzukang@js.chinamobile.com" TargetMode="External"/><Relationship Id="rId3" Type="http://schemas.openxmlformats.org/officeDocument/2006/relationships/hyperlink" Target="mailto:guqiang@js.chinamobile.com" TargetMode="External"/><Relationship Id="rId21" Type="http://schemas.openxmlformats.org/officeDocument/2006/relationships/hyperlink" Target="mailto:zangzw@js.chinamobile.com" TargetMode="External"/><Relationship Id="rId34" Type="http://schemas.openxmlformats.org/officeDocument/2006/relationships/hyperlink" Target="mailto:huangyuxiao@js.chinamobile.com" TargetMode="External"/><Relationship Id="rId7" Type="http://schemas.openxmlformats.org/officeDocument/2006/relationships/hyperlink" Target="mailto:yangshusgs@js.chinamobile.com" TargetMode="External"/><Relationship Id="rId12" Type="http://schemas.openxmlformats.org/officeDocument/2006/relationships/hyperlink" Target="mailto:chenpf9@js.chinamobile.com" TargetMode="External"/><Relationship Id="rId17" Type="http://schemas.openxmlformats.org/officeDocument/2006/relationships/hyperlink" Target="mailto:tianguoliang@js.chinamobile.com" TargetMode="External"/><Relationship Id="rId25" Type="http://schemas.openxmlformats.org/officeDocument/2006/relationships/hyperlink" Target="mailto:chenxiasgs@js.chinamobile.com" TargetMode="External"/><Relationship Id="rId33" Type="http://schemas.openxmlformats.org/officeDocument/2006/relationships/hyperlink" Target="mailto:bixiaolin@js.chinamobile.com" TargetMode="External"/><Relationship Id="rId2" Type="http://schemas.openxmlformats.org/officeDocument/2006/relationships/hyperlink" Target="mailto:pangzhen@js.chinamobile.com" TargetMode="External"/><Relationship Id="rId16" Type="http://schemas.openxmlformats.org/officeDocument/2006/relationships/hyperlink" Target="mailto:zhouweisgs@js.chinamobile.com" TargetMode="External"/><Relationship Id="rId20" Type="http://schemas.openxmlformats.org/officeDocument/2006/relationships/hyperlink" Target="mailto:zhuchunping@js.chinamobile.com" TargetMode="External"/><Relationship Id="rId29" Type="http://schemas.openxmlformats.org/officeDocument/2006/relationships/hyperlink" Target="mailto:jinxinghai@js.chinamobile.com" TargetMode="External"/><Relationship Id="rId1" Type="http://schemas.openxmlformats.org/officeDocument/2006/relationships/hyperlink" Target="mailto:chenxiaofeng@js.chinamobile.com" TargetMode="External"/><Relationship Id="rId6" Type="http://schemas.openxmlformats.org/officeDocument/2006/relationships/hyperlink" Target="mailto:wangyingsgs2@js.chinamobile.com" TargetMode="External"/><Relationship Id="rId11" Type="http://schemas.openxmlformats.org/officeDocument/2006/relationships/hyperlink" Target="mailto:chenpf9@js.chinamobile.com" TargetMode="External"/><Relationship Id="rId24" Type="http://schemas.openxmlformats.org/officeDocument/2006/relationships/hyperlink" Target="mailto:lucz@js.chinamobile.com" TargetMode="External"/><Relationship Id="rId32" Type="http://schemas.openxmlformats.org/officeDocument/2006/relationships/hyperlink" Target="mailto:yuxh@js.chinamobile.com" TargetMode="External"/><Relationship Id="rId5" Type="http://schemas.openxmlformats.org/officeDocument/2006/relationships/hyperlink" Target="mailto:guqiang@js.chinamobile.com" TargetMode="External"/><Relationship Id="rId15" Type="http://schemas.openxmlformats.org/officeDocument/2006/relationships/hyperlink" Target="mailto:shenghonglei@js.chinamobile.com" TargetMode="External"/><Relationship Id="rId23" Type="http://schemas.openxmlformats.org/officeDocument/2006/relationships/hyperlink" Target="mailto:shuaiminsgs@js.chinamobile.com" TargetMode="External"/><Relationship Id="rId28" Type="http://schemas.openxmlformats.org/officeDocument/2006/relationships/hyperlink" Target="mailto:lisc@js.chinamobile.com" TargetMode="External"/><Relationship Id="rId10" Type="http://schemas.openxmlformats.org/officeDocument/2006/relationships/hyperlink" Target="mailto:chenleisgs1@js.chinamobile.com" TargetMode="External"/><Relationship Id="rId19" Type="http://schemas.openxmlformats.org/officeDocument/2006/relationships/hyperlink" Target="mailto:zhuchunping@js.chinamobile.com" TargetMode="External"/><Relationship Id="rId31" Type="http://schemas.openxmlformats.org/officeDocument/2006/relationships/hyperlink" Target="mailto:guqiang@js.chinamobile.com" TargetMode="External"/><Relationship Id="rId4" Type="http://schemas.openxmlformats.org/officeDocument/2006/relationships/hyperlink" Target="mailto:guqiang@js.chinamobile.com" TargetMode="External"/><Relationship Id="rId9" Type="http://schemas.openxmlformats.org/officeDocument/2006/relationships/hyperlink" Target="mailto:wangxueliang@js.chinamobile.com" TargetMode="External"/><Relationship Id="rId14" Type="http://schemas.openxmlformats.org/officeDocument/2006/relationships/hyperlink" Target="mailto:niuyuan@js.chinamobile.com" TargetMode="External"/><Relationship Id="rId22" Type="http://schemas.openxmlformats.org/officeDocument/2006/relationships/hyperlink" Target="mailto:jinbo@js.chinamobile.com" TargetMode="External"/><Relationship Id="rId27" Type="http://schemas.openxmlformats.org/officeDocument/2006/relationships/hyperlink" Target="mailto:zhangnianqisgs@js.chinamobile.com" TargetMode="External"/><Relationship Id="rId30" Type="http://schemas.openxmlformats.org/officeDocument/2006/relationships/hyperlink" Target="mailto:dengchaosgs@js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0"/>
  <sheetViews>
    <sheetView workbookViewId="0">
      <selection activeCell="G8" sqref="G8"/>
    </sheetView>
  </sheetViews>
  <sheetFormatPr defaultColWidth="9.21875" defaultRowHeight="14.4"/>
  <cols>
    <col min="1" max="1" width="16.33203125"/>
    <col min="2" max="2" width="18.109375"/>
  </cols>
  <sheetData>
    <row r="3" spans="1:2">
      <c r="A3" t="s">
        <v>0</v>
      </c>
      <c r="B3" t="s">
        <v>1</v>
      </c>
    </row>
    <row r="4" spans="1:2">
      <c r="A4" t="s">
        <v>2</v>
      </c>
      <c r="B4">
        <v>36</v>
      </c>
    </row>
    <row r="5" spans="1:2">
      <c r="A5" t="s">
        <v>3</v>
      </c>
      <c r="B5">
        <v>19</v>
      </c>
    </row>
    <row r="6" spans="1:2">
      <c r="A6" t="s">
        <v>4</v>
      </c>
      <c r="B6">
        <v>13</v>
      </c>
    </row>
    <row r="7" spans="1:2">
      <c r="A7" t="s">
        <v>5</v>
      </c>
      <c r="B7">
        <v>12</v>
      </c>
    </row>
    <row r="8" spans="1:2">
      <c r="A8" t="s">
        <v>6</v>
      </c>
      <c r="B8">
        <v>5</v>
      </c>
    </row>
    <row r="9" spans="1:2">
      <c r="A9" t="s">
        <v>7</v>
      </c>
      <c r="B9">
        <v>5</v>
      </c>
    </row>
    <row r="10" spans="1:2">
      <c r="A10" t="s">
        <v>8</v>
      </c>
      <c r="B10">
        <v>4</v>
      </c>
    </row>
    <row r="11" spans="1:2">
      <c r="A11" t="s">
        <v>9</v>
      </c>
      <c r="B11">
        <v>3</v>
      </c>
    </row>
    <row r="12" spans="1:2">
      <c r="A12" t="s">
        <v>10</v>
      </c>
      <c r="B12">
        <v>3</v>
      </c>
    </row>
    <row r="13" spans="1:2">
      <c r="A13" t="s">
        <v>11</v>
      </c>
      <c r="B13">
        <v>3</v>
      </c>
    </row>
    <row r="14" spans="1:2">
      <c r="A14" t="s">
        <v>12</v>
      </c>
      <c r="B14">
        <v>1</v>
      </c>
    </row>
    <row r="15" spans="1:2">
      <c r="A15" t="s">
        <v>13</v>
      </c>
      <c r="B15">
        <v>1</v>
      </c>
    </row>
    <row r="16" spans="1:2">
      <c r="A16" t="s">
        <v>14</v>
      </c>
      <c r="B16">
        <v>1</v>
      </c>
    </row>
    <row r="17" spans="1:2">
      <c r="A17" t="s">
        <v>15</v>
      </c>
      <c r="B17">
        <v>1</v>
      </c>
    </row>
    <row r="18" spans="1:2">
      <c r="A18" t="s">
        <v>16</v>
      </c>
      <c r="B18">
        <v>1</v>
      </c>
    </row>
    <row r="19" spans="1:2">
      <c r="A19" t="s">
        <v>17</v>
      </c>
      <c r="B19">
        <v>1</v>
      </c>
    </row>
    <row r="20" spans="1:2">
      <c r="A20" t="s">
        <v>18</v>
      </c>
      <c r="B20">
        <v>109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0"/>
  <sheetViews>
    <sheetView tabSelected="1" topLeftCell="A10" zoomScale="107" zoomScaleNormal="107" workbookViewId="0">
      <selection activeCell="B130" sqref="B2:B130"/>
    </sheetView>
  </sheetViews>
  <sheetFormatPr defaultColWidth="8.88671875" defaultRowHeight="14.4"/>
  <cols>
    <col min="1" max="1" width="6" style="39" customWidth="1"/>
    <col min="2" max="2" width="37" customWidth="1"/>
    <col min="3" max="3" width="11.5546875" customWidth="1"/>
    <col min="4" max="4" width="16.5546875" customWidth="1"/>
    <col min="5" max="5" width="37.5546875" customWidth="1"/>
    <col min="6" max="6" width="12.88671875" customWidth="1"/>
    <col min="7" max="7" width="13.21875" customWidth="1"/>
    <col min="8" max="8" width="15.109375" customWidth="1"/>
    <col min="9" max="9" width="12.109375" customWidth="1"/>
  </cols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0</v>
      </c>
      <c r="G1" s="1" t="s">
        <v>24</v>
      </c>
      <c r="H1" s="1" t="s">
        <v>25</v>
      </c>
      <c r="I1" s="1" t="s">
        <v>26</v>
      </c>
    </row>
    <row r="2" spans="1:9">
      <c r="A2" s="9">
        <f>ROW()-1</f>
        <v>1</v>
      </c>
      <c r="B2" s="2" t="s">
        <v>27</v>
      </c>
      <c r="C2" s="2" t="s">
        <v>28</v>
      </c>
      <c r="D2" s="2">
        <v>13905188064</v>
      </c>
      <c r="E2" s="2" t="s">
        <v>29</v>
      </c>
      <c r="F2" s="2" t="s">
        <v>30</v>
      </c>
      <c r="G2" s="2" t="s">
        <v>31</v>
      </c>
      <c r="H2" s="2" t="s">
        <v>30</v>
      </c>
      <c r="I2" s="20">
        <v>45397</v>
      </c>
    </row>
    <row r="3" spans="1:9">
      <c r="A3" s="9">
        <f t="shared" ref="A3:A10" si="0">ROW()-1</f>
        <v>2</v>
      </c>
      <c r="B3" s="2" t="s">
        <v>32</v>
      </c>
      <c r="C3" s="2" t="s">
        <v>33</v>
      </c>
      <c r="D3" s="2">
        <v>13905182351</v>
      </c>
      <c r="E3" s="2" t="s">
        <v>34</v>
      </c>
      <c r="F3" s="3" t="s">
        <v>4</v>
      </c>
      <c r="G3" s="2" t="s">
        <v>31</v>
      </c>
      <c r="H3" s="2" t="s">
        <v>35</v>
      </c>
      <c r="I3" s="20">
        <v>45373</v>
      </c>
    </row>
    <row r="4" spans="1:9">
      <c r="A4" s="9">
        <f t="shared" si="0"/>
        <v>3</v>
      </c>
      <c r="B4" s="2" t="s">
        <v>36</v>
      </c>
      <c r="C4" s="2" t="s">
        <v>37</v>
      </c>
      <c r="D4" s="2">
        <v>13905186710</v>
      </c>
      <c r="E4" s="2" t="s">
        <v>38</v>
      </c>
      <c r="F4" s="3" t="s">
        <v>4</v>
      </c>
      <c r="G4" s="2" t="s">
        <v>31</v>
      </c>
      <c r="H4" s="2" t="s">
        <v>39</v>
      </c>
      <c r="I4" s="20">
        <v>45373</v>
      </c>
    </row>
    <row r="5" spans="1:9">
      <c r="A5" s="9">
        <f t="shared" si="0"/>
        <v>4</v>
      </c>
      <c r="B5" s="2" t="s">
        <v>40</v>
      </c>
      <c r="C5" s="2" t="s">
        <v>41</v>
      </c>
      <c r="D5" s="2">
        <v>15850521801</v>
      </c>
      <c r="E5" s="2" t="s">
        <v>42</v>
      </c>
      <c r="F5" s="3" t="s">
        <v>5</v>
      </c>
      <c r="G5" s="2" t="s">
        <v>31</v>
      </c>
      <c r="H5" s="2" t="s">
        <v>43</v>
      </c>
      <c r="I5" s="20">
        <v>45355</v>
      </c>
    </row>
    <row r="6" spans="1:9">
      <c r="A6" s="9">
        <f t="shared" si="0"/>
        <v>5</v>
      </c>
      <c r="B6" s="2" t="s">
        <v>44</v>
      </c>
      <c r="C6" s="2" t="s">
        <v>41</v>
      </c>
      <c r="D6" s="2">
        <v>15850521801</v>
      </c>
      <c r="E6" s="2" t="s">
        <v>42</v>
      </c>
      <c r="F6" s="3" t="s">
        <v>5</v>
      </c>
      <c r="G6" s="2" t="s">
        <v>31</v>
      </c>
      <c r="H6" s="2" t="s">
        <v>43</v>
      </c>
      <c r="I6" s="20">
        <v>45355</v>
      </c>
    </row>
    <row r="7" spans="1:9">
      <c r="A7" s="9">
        <f t="shared" si="0"/>
        <v>6</v>
      </c>
      <c r="B7" s="2" t="s">
        <v>45</v>
      </c>
      <c r="C7" s="2" t="s">
        <v>41</v>
      </c>
      <c r="D7" s="2">
        <v>15850521801</v>
      </c>
      <c r="E7" s="2" t="s">
        <v>42</v>
      </c>
      <c r="F7" s="3" t="s">
        <v>5</v>
      </c>
      <c r="G7" s="2" t="s">
        <v>31</v>
      </c>
      <c r="H7" s="2" t="s">
        <v>43</v>
      </c>
      <c r="I7" s="20">
        <v>45355</v>
      </c>
    </row>
    <row r="8" spans="1:9">
      <c r="A8" s="9">
        <f t="shared" si="0"/>
        <v>7</v>
      </c>
      <c r="B8" s="2" t="s">
        <v>46</v>
      </c>
      <c r="C8" s="2" t="s">
        <v>41</v>
      </c>
      <c r="D8" s="2">
        <v>15850521801</v>
      </c>
      <c r="E8" s="2" t="s">
        <v>42</v>
      </c>
      <c r="F8" s="3" t="s">
        <v>5</v>
      </c>
      <c r="G8" s="2" t="s">
        <v>31</v>
      </c>
      <c r="H8" s="2" t="s">
        <v>43</v>
      </c>
      <c r="I8" s="20">
        <v>45355</v>
      </c>
    </row>
    <row r="9" spans="1:9">
      <c r="A9" s="9">
        <f t="shared" si="0"/>
        <v>8</v>
      </c>
      <c r="B9" s="2" t="s">
        <v>47</v>
      </c>
      <c r="C9" s="2" t="s">
        <v>48</v>
      </c>
      <c r="D9" s="2">
        <v>13905183089</v>
      </c>
      <c r="E9" s="2" t="s">
        <v>49</v>
      </c>
      <c r="F9" s="3" t="s">
        <v>6</v>
      </c>
      <c r="G9" s="2" t="s">
        <v>31</v>
      </c>
      <c r="H9" s="2" t="s">
        <v>6</v>
      </c>
      <c r="I9" s="20">
        <v>45324</v>
      </c>
    </row>
    <row r="10" spans="1:9">
      <c r="A10" s="9">
        <f t="shared" si="0"/>
        <v>9</v>
      </c>
      <c r="B10" s="2" t="s">
        <v>50</v>
      </c>
      <c r="C10" s="2" t="s">
        <v>51</v>
      </c>
      <c r="D10" s="2">
        <v>13905187289</v>
      </c>
      <c r="E10" s="2" t="s">
        <v>52</v>
      </c>
      <c r="F10" s="3" t="s">
        <v>9</v>
      </c>
      <c r="G10" s="2" t="s">
        <v>31</v>
      </c>
      <c r="H10" s="2" t="s">
        <v>9</v>
      </c>
      <c r="I10" s="20">
        <v>45324</v>
      </c>
    </row>
    <row r="11" spans="1:9">
      <c r="A11" s="9">
        <f t="shared" ref="A11:A22" si="1">ROW()-1</f>
        <v>10</v>
      </c>
      <c r="B11" s="2" t="s">
        <v>53</v>
      </c>
      <c r="C11" s="2" t="s">
        <v>54</v>
      </c>
      <c r="D11" s="2">
        <v>13913885610</v>
      </c>
      <c r="E11" s="2" t="s">
        <v>55</v>
      </c>
      <c r="F11" s="3" t="s">
        <v>6</v>
      </c>
      <c r="G11" s="2" t="s">
        <v>56</v>
      </c>
      <c r="H11" s="2" t="s">
        <v>6</v>
      </c>
      <c r="I11" s="20">
        <v>45317</v>
      </c>
    </row>
    <row r="12" spans="1:9">
      <c r="A12" s="9">
        <f t="shared" si="1"/>
        <v>11</v>
      </c>
      <c r="B12" s="2" t="s">
        <v>57</v>
      </c>
      <c r="C12" s="2" t="s">
        <v>54</v>
      </c>
      <c r="D12" s="2">
        <v>13913885610</v>
      </c>
      <c r="E12" s="2" t="s">
        <v>55</v>
      </c>
      <c r="F12" s="3" t="s">
        <v>6</v>
      </c>
      <c r="G12" s="2" t="s">
        <v>56</v>
      </c>
      <c r="H12" s="2" t="s">
        <v>6</v>
      </c>
      <c r="I12" s="20">
        <v>45317</v>
      </c>
    </row>
    <row r="13" spans="1:9">
      <c r="A13" s="9">
        <f t="shared" si="1"/>
        <v>12</v>
      </c>
      <c r="B13" s="2" t="s">
        <v>58</v>
      </c>
      <c r="C13" s="2" t="s">
        <v>59</v>
      </c>
      <c r="D13" s="2">
        <v>13905181903</v>
      </c>
      <c r="E13" s="2" t="s">
        <v>60</v>
      </c>
      <c r="F13" s="3" t="s">
        <v>61</v>
      </c>
      <c r="G13" s="2" t="s">
        <v>56</v>
      </c>
      <c r="H13" s="2" t="s">
        <v>62</v>
      </c>
      <c r="I13" s="20">
        <v>45317</v>
      </c>
    </row>
    <row r="14" spans="1:9">
      <c r="A14" s="9">
        <f t="shared" si="1"/>
        <v>13</v>
      </c>
      <c r="B14" s="2" t="s">
        <v>63</v>
      </c>
      <c r="C14" s="2" t="s">
        <v>64</v>
      </c>
      <c r="D14" s="2">
        <v>13905182859</v>
      </c>
      <c r="E14" s="2" t="s">
        <v>65</v>
      </c>
      <c r="F14" s="3" t="s">
        <v>66</v>
      </c>
      <c r="G14" s="2" t="s">
        <v>31</v>
      </c>
      <c r="H14" s="2" t="s">
        <v>30</v>
      </c>
      <c r="I14" s="20">
        <v>45317</v>
      </c>
    </row>
    <row r="15" spans="1:9">
      <c r="A15" s="9">
        <f t="shared" si="1"/>
        <v>14</v>
      </c>
      <c r="B15" s="2" t="s">
        <v>67</v>
      </c>
      <c r="C15" s="2" t="s">
        <v>68</v>
      </c>
      <c r="D15" s="2">
        <v>13905189614</v>
      </c>
      <c r="E15" s="2" t="s">
        <v>69</v>
      </c>
      <c r="F15" s="3" t="s">
        <v>61</v>
      </c>
      <c r="G15" s="2" t="s">
        <v>70</v>
      </c>
      <c r="H15" s="2" t="s">
        <v>62</v>
      </c>
      <c r="I15" s="20">
        <v>45317</v>
      </c>
    </row>
    <row r="16" spans="1:9">
      <c r="A16" s="9">
        <f t="shared" si="1"/>
        <v>15</v>
      </c>
      <c r="B16" s="2" t="s">
        <v>71</v>
      </c>
      <c r="C16" s="2" t="s">
        <v>54</v>
      </c>
      <c r="D16" s="2">
        <v>13913885610</v>
      </c>
      <c r="E16" s="2" t="s">
        <v>55</v>
      </c>
      <c r="F16" s="3" t="s">
        <v>6</v>
      </c>
      <c r="G16" s="2" t="s">
        <v>31</v>
      </c>
      <c r="H16" s="2" t="s">
        <v>6</v>
      </c>
      <c r="I16" s="20">
        <v>45317</v>
      </c>
    </row>
    <row r="17" spans="1:9">
      <c r="A17" s="9">
        <f t="shared" si="1"/>
        <v>16</v>
      </c>
      <c r="B17" s="2" t="s">
        <v>72</v>
      </c>
      <c r="C17" s="2" t="s">
        <v>73</v>
      </c>
      <c r="D17" s="2">
        <v>13901589805</v>
      </c>
      <c r="E17" s="2" t="s">
        <v>74</v>
      </c>
      <c r="F17" s="3" t="s">
        <v>75</v>
      </c>
      <c r="G17" s="2" t="s">
        <v>70</v>
      </c>
      <c r="H17" s="2" t="s">
        <v>76</v>
      </c>
      <c r="I17" s="20">
        <v>45317</v>
      </c>
    </row>
    <row r="18" spans="1:9">
      <c r="A18" s="9">
        <f t="shared" si="1"/>
        <v>17</v>
      </c>
      <c r="B18" s="2" t="s">
        <v>77</v>
      </c>
      <c r="C18" s="2" t="s">
        <v>78</v>
      </c>
      <c r="D18" s="2">
        <v>13905187226</v>
      </c>
      <c r="E18" s="2" t="s">
        <v>79</v>
      </c>
      <c r="F18" s="3" t="s">
        <v>9</v>
      </c>
      <c r="G18" s="2" t="s">
        <v>31</v>
      </c>
      <c r="H18" s="2" t="s">
        <v>9</v>
      </c>
      <c r="I18" s="20">
        <v>45285</v>
      </c>
    </row>
    <row r="19" spans="1:9">
      <c r="A19" s="9">
        <f t="shared" si="1"/>
        <v>18</v>
      </c>
      <c r="B19" s="2" t="s">
        <v>80</v>
      </c>
      <c r="C19" s="2" t="s">
        <v>81</v>
      </c>
      <c r="D19" s="2">
        <v>18851844801</v>
      </c>
      <c r="E19" s="2" t="s">
        <v>82</v>
      </c>
      <c r="F19" s="3" t="s">
        <v>9</v>
      </c>
      <c r="G19" s="2" t="s">
        <v>31</v>
      </c>
      <c r="H19" s="2" t="s">
        <v>9</v>
      </c>
      <c r="I19" s="20">
        <v>45285</v>
      </c>
    </row>
    <row r="20" spans="1:9">
      <c r="A20" s="9">
        <f t="shared" si="1"/>
        <v>19</v>
      </c>
      <c r="B20" s="2" t="s">
        <v>83</v>
      </c>
      <c r="C20" s="2" t="s">
        <v>84</v>
      </c>
      <c r="D20" s="3">
        <v>13905189624</v>
      </c>
      <c r="E20" s="3" t="s">
        <v>85</v>
      </c>
      <c r="F20" s="3" t="s">
        <v>7</v>
      </c>
      <c r="G20" s="2" t="s">
        <v>31</v>
      </c>
      <c r="H20" s="2" t="s">
        <v>86</v>
      </c>
      <c r="I20" s="20">
        <v>45285</v>
      </c>
    </row>
    <row r="21" spans="1:9">
      <c r="A21" s="9">
        <f t="shared" si="1"/>
        <v>20</v>
      </c>
      <c r="B21" s="2" t="s">
        <v>87</v>
      </c>
      <c r="C21" s="6" t="s">
        <v>59</v>
      </c>
      <c r="D21" s="2">
        <v>13905181903</v>
      </c>
      <c r="E21" s="2" t="s">
        <v>60</v>
      </c>
      <c r="F21" s="3" t="s">
        <v>61</v>
      </c>
      <c r="G21" s="2" t="s">
        <v>56</v>
      </c>
      <c r="H21" s="6" t="s">
        <v>62</v>
      </c>
      <c r="I21" s="20">
        <v>45268</v>
      </c>
    </row>
    <row r="22" spans="1:9" s="38" customFormat="1">
      <c r="A22" s="9">
        <f t="shared" si="1"/>
        <v>21</v>
      </c>
      <c r="B22" s="2" t="s">
        <v>88</v>
      </c>
      <c r="C22" s="2" t="s">
        <v>89</v>
      </c>
      <c r="D22" s="6">
        <v>15951937034</v>
      </c>
      <c r="E22" s="2" t="s">
        <v>90</v>
      </c>
      <c r="F22" s="3" t="s">
        <v>2</v>
      </c>
      <c r="G22" s="2" t="s">
        <v>70</v>
      </c>
      <c r="H22" s="6" t="s">
        <v>91</v>
      </c>
      <c r="I22" s="21">
        <v>45246</v>
      </c>
    </row>
    <row r="23" spans="1:9" s="38" customFormat="1">
      <c r="A23" s="9">
        <f t="shared" ref="A23:A34" si="2">ROW()-1</f>
        <v>22</v>
      </c>
      <c r="B23" s="2" t="s">
        <v>92</v>
      </c>
      <c r="C23" s="2" t="s">
        <v>93</v>
      </c>
      <c r="D23" s="6">
        <v>13905189237</v>
      </c>
      <c r="E23" s="2" t="s">
        <v>94</v>
      </c>
      <c r="F23" s="3" t="s">
        <v>2</v>
      </c>
      <c r="G23" s="2" t="s">
        <v>70</v>
      </c>
      <c r="H23" s="6" t="s">
        <v>91</v>
      </c>
      <c r="I23" s="21">
        <v>45246</v>
      </c>
    </row>
    <row r="24" spans="1:9" s="38" customFormat="1">
      <c r="A24" s="9">
        <f t="shared" si="2"/>
        <v>23</v>
      </c>
      <c r="B24" s="2" t="s">
        <v>95</v>
      </c>
      <c r="C24" s="2" t="s">
        <v>89</v>
      </c>
      <c r="D24" s="6">
        <v>15951937034</v>
      </c>
      <c r="E24" s="2" t="s">
        <v>90</v>
      </c>
      <c r="F24" s="3" t="s">
        <v>2</v>
      </c>
      <c r="G24" s="2" t="s">
        <v>70</v>
      </c>
      <c r="H24" s="6" t="s">
        <v>91</v>
      </c>
      <c r="I24" s="21">
        <v>45246</v>
      </c>
    </row>
    <row r="25" spans="1:9" s="38" customFormat="1">
      <c r="A25" s="9">
        <f t="shared" si="2"/>
        <v>24</v>
      </c>
      <c r="B25" s="2" t="s">
        <v>96</v>
      </c>
      <c r="C25" s="2" t="s">
        <v>97</v>
      </c>
      <c r="D25" s="6">
        <v>13814013535</v>
      </c>
      <c r="E25" s="2" t="s">
        <v>98</v>
      </c>
      <c r="F25" s="3" t="s">
        <v>30</v>
      </c>
      <c r="G25" s="2" t="s">
        <v>31</v>
      </c>
      <c r="H25" s="6" t="s">
        <v>30</v>
      </c>
      <c r="I25" s="21">
        <v>45246</v>
      </c>
    </row>
    <row r="26" spans="1:9" s="38" customFormat="1">
      <c r="A26" s="9">
        <f t="shared" si="2"/>
        <v>25</v>
      </c>
      <c r="B26" s="2" t="s">
        <v>99</v>
      </c>
      <c r="C26" s="2" t="s">
        <v>100</v>
      </c>
      <c r="D26" s="6">
        <v>13905182138</v>
      </c>
      <c r="E26" s="2" t="s">
        <v>101</v>
      </c>
      <c r="F26" s="3" t="s">
        <v>61</v>
      </c>
      <c r="G26" s="2" t="s">
        <v>56</v>
      </c>
      <c r="H26" s="6" t="s">
        <v>102</v>
      </c>
      <c r="I26" s="21">
        <v>45246</v>
      </c>
    </row>
    <row r="27" spans="1:9" s="38" customFormat="1">
      <c r="A27" s="9">
        <f t="shared" si="2"/>
        <v>26</v>
      </c>
      <c r="B27" s="2" t="s">
        <v>103</v>
      </c>
      <c r="C27" s="2" t="s">
        <v>104</v>
      </c>
      <c r="D27" s="6">
        <v>13901586356</v>
      </c>
      <c r="E27" s="2" t="s">
        <v>105</v>
      </c>
      <c r="F27" s="3" t="s">
        <v>3</v>
      </c>
      <c r="G27" s="2" t="s">
        <v>70</v>
      </c>
      <c r="H27" s="6" t="s">
        <v>91</v>
      </c>
      <c r="I27" s="21">
        <v>45246</v>
      </c>
    </row>
    <row r="28" spans="1:9" s="38" customFormat="1">
      <c r="A28" s="9">
        <f t="shared" si="2"/>
        <v>27</v>
      </c>
      <c r="B28" s="2" t="s">
        <v>106</v>
      </c>
      <c r="C28" s="2" t="s">
        <v>68</v>
      </c>
      <c r="D28" s="6">
        <v>13905189614</v>
      </c>
      <c r="E28" s="2" t="s">
        <v>69</v>
      </c>
      <c r="F28" s="3" t="s">
        <v>61</v>
      </c>
      <c r="G28" s="2" t="s">
        <v>31</v>
      </c>
      <c r="H28" s="6" t="s">
        <v>62</v>
      </c>
      <c r="I28" s="21">
        <v>45246</v>
      </c>
    </row>
    <row r="29" spans="1:9" s="38" customFormat="1">
      <c r="A29" s="9">
        <f t="shared" si="2"/>
        <v>28</v>
      </c>
      <c r="B29" s="2" t="s">
        <v>107</v>
      </c>
      <c r="C29" s="2" t="s">
        <v>108</v>
      </c>
      <c r="D29" s="6">
        <v>13905189514</v>
      </c>
      <c r="E29" s="2" t="s">
        <v>109</v>
      </c>
      <c r="F29" s="3" t="s">
        <v>75</v>
      </c>
      <c r="G29" s="2" t="s">
        <v>70</v>
      </c>
      <c r="H29" s="6" t="s">
        <v>35</v>
      </c>
      <c r="I29" s="21">
        <v>45246</v>
      </c>
    </row>
    <row r="30" spans="1:9" s="38" customFormat="1">
      <c r="A30" s="9">
        <f t="shared" si="2"/>
        <v>29</v>
      </c>
      <c r="B30" s="2" t="s">
        <v>110</v>
      </c>
      <c r="C30" s="2" t="s">
        <v>111</v>
      </c>
      <c r="D30" s="6">
        <v>13912980692</v>
      </c>
      <c r="E30" s="2" t="s">
        <v>112</v>
      </c>
      <c r="F30" s="3" t="s">
        <v>3</v>
      </c>
      <c r="G30" s="2" t="s">
        <v>70</v>
      </c>
      <c r="H30" s="6" t="s">
        <v>91</v>
      </c>
      <c r="I30" s="21">
        <v>45246</v>
      </c>
    </row>
    <row r="31" spans="1:9" s="38" customFormat="1">
      <c r="A31" s="9">
        <f t="shared" si="2"/>
        <v>30</v>
      </c>
      <c r="B31" s="2" t="s">
        <v>113</v>
      </c>
      <c r="C31" s="2" t="s">
        <v>114</v>
      </c>
      <c r="D31" s="6">
        <v>13905181096</v>
      </c>
      <c r="E31" s="2" t="s">
        <v>115</v>
      </c>
      <c r="F31" s="3" t="s">
        <v>3</v>
      </c>
      <c r="G31" s="2" t="s">
        <v>70</v>
      </c>
      <c r="H31" s="6" t="s">
        <v>43</v>
      </c>
      <c r="I31" s="21">
        <v>45246</v>
      </c>
    </row>
    <row r="32" spans="1:9" s="38" customFormat="1">
      <c r="A32" s="9">
        <f t="shared" si="2"/>
        <v>31</v>
      </c>
      <c r="B32" s="2" t="s">
        <v>116</v>
      </c>
      <c r="C32" s="2" t="s">
        <v>117</v>
      </c>
      <c r="D32" s="6">
        <v>13905181072</v>
      </c>
      <c r="E32" s="2" t="s">
        <v>118</v>
      </c>
      <c r="F32" s="3" t="s">
        <v>3</v>
      </c>
      <c r="G32" s="2" t="s">
        <v>70</v>
      </c>
      <c r="H32" s="6" t="s">
        <v>43</v>
      </c>
      <c r="I32" s="21">
        <v>45246</v>
      </c>
    </row>
    <row r="33" spans="1:9" s="38" customFormat="1">
      <c r="A33" s="9">
        <f t="shared" si="2"/>
        <v>32</v>
      </c>
      <c r="B33" s="2" t="s">
        <v>119</v>
      </c>
      <c r="C33" s="2" t="s">
        <v>120</v>
      </c>
      <c r="D33" s="6">
        <v>13905182506</v>
      </c>
      <c r="E33" s="2" t="s">
        <v>121</v>
      </c>
      <c r="F33" s="3" t="s">
        <v>5</v>
      </c>
      <c r="G33" s="2" t="s">
        <v>31</v>
      </c>
      <c r="H33" s="6" t="s">
        <v>91</v>
      </c>
      <c r="I33" s="21">
        <v>45246</v>
      </c>
    </row>
    <row r="34" spans="1:9" s="38" customFormat="1">
      <c r="A34" s="9">
        <f t="shared" si="2"/>
        <v>33</v>
      </c>
      <c r="B34" s="2" t="s">
        <v>122</v>
      </c>
      <c r="C34" s="2" t="s">
        <v>123</v>
      </c>
      <c r="D34" s="6">
        <v>13905182911</v>
      </c>
      <c r="E34" s="2" t="s">
        <v>124</v>
      </c>
      <c r="F34" s="3" t="s">
        <v>75</v>
      </c>
      <c r="G34" s="2" t="s">
        <v>70</v>
      </c>
      <c r="H34" s="6" t="s">
        <v>91</v>
      </c>
      <c r="I34" s="21">
        <v>45246</v>
      </c>
    </row>
    <row r="35" spans="1:9" s="38" customFormat="1">
      <c r="A35" s="9">
        <f t="shared" ref="A35:A40" si="3">ROW()-1</f>
        <v>34</v>
      </c>
      <c r="B35" s="2" t="s">
        <v>125</v>
      </c>
      <c r="C35" s="2" t="s">
        <v>126</v>
      </c>
      <c r="D35" s="2">
        <v>13905187138</v>
      </c>
      <c r="E35" s="2" t="s">
        <v>127</v>
      </c>
      <c r="F35" s="3" t="s">
        <v>9</v>
      </c>
      <c r="G35" s="2" t="s">
        <v>31</v>
      </c>
      <c r="H35" s="2" t="s">
        <v>9</v>
      </c>
      <c r="I35" s="20">
        <v>45240</v>
      </c>
    </row>
    <row r="36" spans="1:9" s="38" customFormat="1">
      <c r="A36" s="9">
        <f t="shared" si="3"/>
        <v>35</v>
      </c>
      <c r="B36" s="2" t="s">
        <v>128</v>
      </c>
      <c r="C36" s="2" t="s">
        <v>33</v>
      </c>
      <c r="D36" s="2">
        <v>13905182351</v>
      </c>
      <c r="E36" s="2" t="s">
        <v>34</v>
      </c>
      <c r="F36" s="3" t="s">
        <v>4</v>
      </c>
      <c r="G36" s="2" t="s">
        <v>31</v>
      </c>
      <c r="H36" s="2" t="s">
        <v>35</v>
      </c>
      <c r="I36" s="20">
        <v>45240</v>
      </c>
    </row>
    <row r="37" spans="1:9">
      <c r="A37" s="9">
        <f t="shared" si="3"/>
        <v>36</v>
      </c>
      <c r="B37" s="2" t="s">
        <v>129</v>
      </c>
      <c r="C37" s="2" t="s">
        <v>130</v>
      </c>
      <c r="D37" s="2">
        <v>13905182932</v>
      </c>
      <c r="E37" s="2" t="s">
        <v>131</v>
      </c>
      <c r="F37" s="3" t="s">
        <v>4</v>
      </c>
      <c r="G37" s="2" t="s">
        <v>31</v>
      </c>
      <c r="H37" s="2" t="s">
        <v>39</v>
      </c>
      <c r="I37" s="20">
        <v>45240</v>
      </c>
    </row>
    <row r="38" spans="1:9">
      <c r="A38" s="9">
        <f t="shared" si="3"/>
        <v>37</v>
      </c>
      <c r="B38" s="2" t="s">
        <v>132</v>
      </c>
      <c r="C38" s="2" t="s">
        <v>133</v>
      </c>
      <c r="D38" s="2">
        <v>13905180662</v>
      </c>
      <c r="E38" s="2" t="s">
        <v>134</v>
      </c>
      <c r="F38" s="3" t="s">
        <v>4</v>
      </c>
      <c r="G38" s="2" t="s">
        <v>31</v>
      </c>
      <c r="H38" s="2" t="s">
        <v>135</v>
      </c>
      <c r="I38" s="20">
        <v>45240</v>
      </c>
    </row>
    <row r="39" spans="1:9">
      <c r="A39" s="9">
        <f t="shared" si="3"/>
        <v>38</v>
      </c>
      <c r="B39" s="2" t="s">
        <v>136</v>
      </c>
      <c r="C39" s="2" t="s">
        <v>48</v>
      </c>
      <c r="D39" s="2">
        <v>13905183089</v>
      </c>
      <c r="E39" s="2" t="s">
        <v>49</v>
      </c>
      <c r="F39" s="3" t="s">
        <v>6</v>
      </c>
      <c r="G39" s="2" t="s">
        <v>31</v>
      </c>
      <c r="H39" s="2" t="s">
        <v>6</v>
      </c>
      <c r="I39" s="22">
        <v>45222</v>
      </c>
    </row>
    <row r="40" spans="1:9">
      <c r="A40" s="9">
        <f t="shared" si="3"/>
        <v>39</v>
      </c>
      <c r="B40" s="2" t="s">
        <v>137</v>
      </c>
      <c r="C40" s="2" t="s">
        <v>138</v>
      </c>
      <c r="D40" s="7">
        <v>13621586093</v>
      </c>
      <c r="E40" s="7" t="s">
        <v>139</v>
      </c>
      <c r="F40" s="3" t="s">
        <v>61</v>
      </c>
      <c r="G40" s="2" t="s">
        <v>70</v>
      </c>
      <c r="H40" s="2" t="s">
        <v>91</v>
      </c>
      <c r="I40" s="20">
        <v>45215</v>
      </c>
    </row>
    <row r="41" spans="1:9">
      <c r="A41" s="9">
        <f t="shared" ref="A41:A47" si="4">ROW()-1</f>
        <v>40</v>
      </c>
      <c r="B41" s="2" t="s">
        <v>140</v>
      </c>
      <c r="C41" s="2" t="s">
        <v>141</v>
      </c>
      <c r="D41" s="2">
        <v>13901584566</v>
      </c>
      <c r="E41" s="8" t="s">
        <v>142</v>
      </c>
      <c r="F41" s="3" t="s">
        <v>2</v>
      </c>
      <c r="G41" s="2" t="s">
        <v>70</v>
      </c>
      <c r="H41" s="2" t="s">
        <v>91</v>
      </c>
      <c r="I41" s="20">
        <v>45119</v>
      </c>
    </row>
    <row r="42" spans="1:9">
      <c r="A42" s="9">
        <f t="shared" si="4"/>
        <v>41</v>
      </c>
      <c r="B42" s="2" t="s">
        <v>143</v>
      </c>
      <c r="C42" s="2" t="s">
        <v>144</v>
      </c>
      <c r="D42" s="9">
        <v>13905182436</v>
      </c>
      <c r="E42" s="8" t="s">
        <v>145</v>
      </c>
      <c r="F42" s="3" t="s">
        <v>3</v>
      </c>
      <c r="G42" s="9" t="s">
        <v>70</v>
      </c>
      <c r="H42" s="9" t="s">
        <v>91</v>
      </c>
      <c r="I42" s="20">
        <v>45119</v>
      </c>
    </row>
    <row r="43" spans="1:9">
      <c r="A43" s="9">
        <f t="shared" si="4"/>
        <v>42</v>
      </c>
      <c r="B43" s="11" t="s">
        <v>146</v>
      </c>
      <c r="C43" s="12" t="s">
        <v>147</v>
      </c>
      <c r="D43" s="2">
        <v>13905182359</v>
      </c>
      <c r="E43" s="8" t="s">
        <v>148</v>
      </c>
      <c r="F43" s="3" t="s">
        <v>9</v>
      </c>
      <c r="G43" s="2" t="s">
        <v>56</v>
      </c>
      <c r="H43" s="13" t="s">
        <v>9</v>
      </c>
      <c r="I43" s="22">
        <v>45086</v>
      </c>
    </row>
    <row r="44" spans="1:9">
      <c r="A44" s="9">
        <f t="shared" si="4"/>
        <v>43</v>
      </c>
      <c r="B44" s="11" t="s">
        <v>149</v>
      </c>
      <c r="C44" s="12" t="s">
        <v>147</v>
      </c>
      <c r="D44" s="2">
        <v>13905182359</v>
      </c>
      <c r="E44" s="8" t="s">
        <v>148</v>
      </c>
      <c r="F44" s="3" t="s">
        <v>9</v>
      </c>
      <c r="G44" s="2" t="s">
        <v>56</v>
      </c>
      <c r="H44" s="13" t="s">
        <v>9</v>
      </c>
      <c r="I44" s="22">
        <v>45086</v>
      </c>
    </row>
    <row r="45" spans="1:9">
      <c r="A45" s="9">
        <f t="shared" si="4"/>
        <v>44</v>
      </c>
      <c r="B45" s="13" t="s">
        <v>150</v>
      </c>
      <c r="C45" s="14" t="s">
        <v>151</v>
      </c>
      <c r="D45" s="13">
        <v>13645169866</v>
      </c>
      <c r="E45" s="13" t="s">
        <v>152</v>
      </c>
      <c r="F45" s="3" t="s">
        <v>2</v>
      </c>
      <c r="G45" s="14" t="s">
        <v>70</v>
      </c>
      <c r="H45" s="13" t="s">
        <v>153</v>
      </c>
      <c r="I45" s="22">
        <v>45042</v>
      </c>
    </row>
    <row r="46" spans="1:9">
      <c r="A46" s="9">
        <f t="shared" si="4"/>
        <v>45</v>
      </c>
      <c r="B46" s="2" t="s">
        <v>154</v>
      </c>
      <c r="C46" s="2" t="s">
        <v>155</v>
      </c>
      <c r="D46" s="2">
        <v>13905182601</v>
      </c>
      <c r="E46" s="2" t="s">
        <v>156</v>
      </c>
      <c r="F46" s="3" t="s">
        <v>2</v>
      </c>
      <c r="G46" s="2" t="s">
        <v>70</v>
      </c>
      <c r="H46" s="2" t="s">
        <v>91</v>
      </c>
      <c r="I46" s="20">
        <v>44992</v>
      </c>
    </row>
    <row r="47" spans="1:9">
      <c r="A47" s="9">
        <f t="shared" si="4"/>
        <v>46</v>
      </c>
      <c r="B47" s="40" t="s">
        <v>157</v>
      </c>
      <c r="C47" s="41" t="s">
        <v>158</v>
      </c>
      <c r="D47" s="42">
        <v>15850663933</v>
      </c>
      <c r="E47" s="42" t="s">
        <v>159</v>
      </c>
      <c r="F47" s="3" t="s">
        <v>6</v>
      </c>
      <c r="G47" s="19" t="s">
        <v>56</v>
      </c>
      <c r="H47" s="19" t="s">
        <v>9</v>
      </c>
      <c r="I47" s="44">
        <v>44865</v>
      </c>
    </row>
    <row r="48" spans="1:9">
      <c r="A48" s="9">
        <f t="shared" ref="A48:A59" si="5">ROW()-1</f>
        <v>47</v>
      </c>
      <c r="B48" s="15" t="s">
        <v>160</v>
      </c>
      <c r="C48" s="2" t="s">
        <v>161</v>
      </c>
      <c r="D48" s="2">
        <v>13901589554</v>
      </c>
      <c r="E48" s="2" t="s">
        <v>162</v>
      </c>
      <c r="F48" s="3" t="s">
        <v>4</v>
      </c>
      <c r="G48" s="11" t="s">
        <v>56</v>
      </c>
      <c r="H48" s="11" t="s">
        <v>43</v>
      </c>
      <c r="I48" s="20">
        <v>44985</v>
      </c>
    </row>
    <row r="49" spans="1:9">
      <c r="A49" s="9">
        <f t="shared" si="5"/>
        <v>48</v>
      </c>
      <c r="B49" s="15" t="s">
        <v>163</v>
      </c>
      <c r="C49" s="2" t="s">
        <v>59</v>
      </c>
      <c r="D49" s="2">
        <v>13905181903</v>
      </c>
      <c r="E49" s="2" t="s">
        <v>60</v>
      </c>
      <c r="F49" s="3" t="s">
        <v>61</v>
      </c>
      <c r="G49" s="11" t="s">
        <v>56</v>
      </c>
      <c r="H49" s="11" t="s">
        <v>164</v>
      </c>
      <c r="I49" s="20">
        <v>44985</v>
      </c>
    </row>
    <row r="50" spans="1:9">
      <c r="A50" s="9">
        <f t="shared" si="5"/>
        <v>49</v>
      </c>
      <c r="B50" s="15" t="s">
        <v>165</v>
      </c>
      <c r="C50" s="2" t="s">
        <v>59</v>
      </c>
      <c r="D50" s="2">
        <v>13905181903</v>
      </c>
      <c r="E50" s="2" t="s">
        <v>60</v>
      </c>
      <c r="F50" s="3" t="s">
        <v>61</v>
      </c>
      <c r="G50" s="11" t="s">
        <v>56</v>
      </c>
      <c r="H50" s="11" t="s">
        <v>164</v>
      </c>
      <c r="I50" s="20">
        <v>44985</v>
      </c>
    </row>
    <row r="51" spans="1:9">
      <c r="A51" s="9">
        <f t="shared" si="5"/>
        <v>50</v>
      </c>
      <c r="B51" s="15" t="s">
        <v>166</v>
      </c>
      <c r="C51" s="2" t="s">
        <v>59</v>
      </c>
      <c r="D51" s="2">
        <v>13905181903</v>
      </c>
      <c r="E51" s="2" t="s">
        <v>60</v>
      </c>
      <c r="F51" s="3" t="s">
        <v>61</v>
      </c>
      <c r="G51" s="11" t="s">
        <v>56</v>
      </c>
      <c r="H51" s="11" t="s">
        <v>164</v>
      </c>
      <c r="I51" s="20">
        <v>44985</v>
      </c>
    </row>
    <row r="52" spans="1:9">
      <c r="A52" s="9">
        <f t="shared" si="5"/>
        <v>51</v>
      </c>
      <c r="B52" s="14" t="s">
        <v>167</v>
      </c>
      <c r="C52" s="13" t="s">
        <v>168</v>
      </c>
      <c r="D52" s="13">
        <v>13851603292</v>
      </c>
      <c r="E52" s="13" t="s">
        <v>169</v>
      </c>
      <c r="F52" s="3" t="s">
        <v>2</v>
      </c>
      <c r="G52" s="16" t="s">
        <v>70</v>
      </c>
      <c r="H52" s="16" t="s">
        <v>170</v>
      </c>
      <c r="I52" s="22">
        <v>44985</v>
      </c>
    </row>
    <row r="53" spans="1:9">
      <c r="A53" s="9">
        <f t="shared" si="5"/>
        <v>52</v>
      </c>
      <c r="B53" s="2" t="s">
        <v>171</v>
      </c>
      <c r="C53" s="2" t="s">
        <v>172</v>
      </c>
      <c r="D53" s="2">
        <v>13905180367</v>
      </c>
      <c r="E53" s="2" t="s">
        <v>173</v>
      </c>
      <c r="F53" s="3" t="s">
        <v>2</v>
      </c>
      <c r="G53" s="2" t="s">
        <v>70</v>
      </c>
      <c r="H53" s="2" t="s">
        <v>91</v>
      </c>
      <c r="I53" s="20">
        <v>44985</v>
      </c>
    </row>
    <row r="54" spans="1:9">
      <c r="A54" s="9">
        <f t="shared" si="5"/>
        <v>53</v>
      </c>
      <c r="B54" s="17" t="s">
        <v>174</v>
      </c>
      <c r="C54" s="18" t="s">
        <v>100</v>
      </c>
      <c r="D54" s="18">
        <v>13905182138</v>
      </c>
      <c r="E54" s="18" t="s">
        <v>101</v>
      </c>
      <c r="F54" s="3" t="s">
        <v>61</v>
      </c>
      <c r="G54" s="19" t="s">
        <v>56</v>
      </c>
      <c r="H54" s="19" t="s">
        <v>102</v>
      </c>
      <c r="I54" s="23">
        <v>44985</v>
      </c>
    </row>
    <row r="55" spans="1:9">
      <c r="A55" s="9">
        <f t="shared" si="5"/>
        <v>54</v>
      </c>
      <c r="B55" s="15" t="s">
        <v>175</v>
      </c>
      <c r="C55" s="2" t="s">
        <v>176</v>
      </c>
      <c r="D55" s="2">
        <v>13905189818</v>
      </c>
      <c r="E55" s="43" t="s">
        <v>177</v>
      </c>
      <c r="F55" s="3" t="s">
        <v>75</v>
      </c>
      <c r="G55" s="2" t="s">
        <v>31</v>
      </c>
      <c r="H55" s="2" t="s">
        <v>91</v>
      </c>
      <c r="I55" s="20">
        <v>44925</v>
      </c>
    </row>
    <row r="56" spans="1:9">
      <c r="A56" s="9">
        <f t="shared" si="5"/>
        <v>55</v>
      </c>
      <c r="B56" s="15" t="s">
        <v>178</v>
      </c>
      <c r="C56" s="24" t="s">
        <v>179</v>
      </c>
      <c r="D56" s="2">
        <v>13952059900</v>
      </c>
      <c r="E56" s="2" t="s">
        <v>180</v>
      </c>
      <c r="F56" s="3" t="s">
        <v>3</v>
      </c>
      <c r="G56" s="15" t="s">
        <v>70</v>
      </c>
      <c r="H56" s="2" t="s">
        <v>164</v>
      </c>
      <c r="I56" s="20">
        <v>44895</v>
      </c>
    </row>
    <row r="57" spans="1:9">
      <c r="A57" s="9">
        <f t="shared" si="5"/>
        <v>56</v>
      </c>
      <c r="B57" s="15" t="s">
        <v>181</v>
      </c>
      <c r="C57" s="15" t="s">
        <v>168</v>
      </c>
      <c r="D57" s="2">
        <v>13851603292</v>
      </c>
      <c r="E57" s="2" t="s">
        <v>169</v>
      </c>
      <c r="F57" s="3" t="s">
        <v>2</v>
      </c>
      <c r="G57" s="15" t="s">
        <v>70</v>
      </c>
      <c r="H57" s="2" t="s">
        <v>170</v>
      </c>
      <c r="I57" s="20">
        <v>44895</v>
      </c>
    </row>
    <row r="58" spans="1:9">
      <c r="A58" s="9">
        <f t="shared" si="5"/>
        <v>57</v>
      </c>
      <c r="B58" s="15" t="s">
        <v>182</v>
      </c>
      <c r="C58" s="15" t="s">
        <v>183</v>
      </c>
      <c r="D58" s="2">
        <v>13901581649</v>
      </c>
      <c r="E58" s="2" t="s">
        <v>184</v>
      </c>
      <c r="F58" s="3" t="s">
        <v>11</v>
      </c>
      <c r="G58" s="15" t="s">
        <v>70</v>
      </c>
      <c r="H58" s="2" t="s">
        <v>135</v>
      </c>
      <c r="I58" s="20">
        <v>44895</v>
      </c>
    </row>
    <row r="59" spans="1:9">
      <c r="A59" s="9">
        <f t="shared" si="5"/>
        <v>58</v>
      </c>
      <c r="B59" s="15" t="s">
        <v>185</v>
      </c>
      <c r="C59" s="15" t="s">
        <v>186</v>
      </c>
      <c r="D59" s="2">
        <v>13905180226</v>
      </c>
      <c r="E59" s="2" t="s">
        <v>187</v>
      </c>
      <c r="F59" s="3" t="s">
        <v>11</v>
      </c>
      <c r="G59" s="15" t="s">
        <v>70</v>
      </c>
      <c r="H59" s="2" t="s">
        <v>188</v>
      </c>
      <c r="I59" s="20">
        <v>44895</v>
      </c>
    </row>
    <row r="60" spans="1:9">
      <c r="A60" s="9">
        <f t="shared" ref="A60:A70" si="6">ROW()-1</f>
        <v>59</v>
      </c>
      <c r="B60" s="15" t="s">
        <v>189</v>
      </c>
      <c r="C60" s="15" t="s">
        <v>190</v>
      </c>
      <c r="D60" s="2">
        <v>13905183757</v>
      </c>
      <c r="E60" s="2" t="s">
        <v>191</v>
      </c>
      <c r="F60" s="3" t="s">
        <v>2</v>
      </c>
      <c r="G60" s="15" t="s">
        <v>70</v>
      </c>
      <c r="H60" s="2" t="s">
        <v>192</v>
      </c>
      <c r="I60" s="20">
        <v>44895</v>
      </c>
    </row>
    <row r="61" spans="1:9">
      <c r="A61" s="9">
        <f t="shared" si="6"/>
        <v>60</v>
      </c>
      <c r="B61" s="15" t="s">
        <v>193</v>
      </c>
      <c r="C61" s="15" t="s">
        <v>194</v>
      </c>
      <c r="D61" s="2">
        <v>13905180367</v>
      </c>
      <c r="E61" s="2" t="s">
        <v>173</v>
      </c>
      <c r="F61" s="3" t="s">
        <v>2</v>
      </c>
      <c r="G61" s="15" t="s">
        <v>70</v>
      </c>
      <c r="H61" s="2" t="s">
        <v>91</v>
      </c>
      <c r="I61" s="20">
        <v>44895</v>
      </c>
    </row>
    <row r="62" spans="1:9">
      <c r="A62" s="9">
        <f t="shared" si="6"/>
        <v>61</v>
      </c>
      <c r="B62" s="15" t="s">
        <v>195</v>
      </c>
      <c r="C62" s="15" t="s">
        <v>151</v>
      </c>
      <c r="D62" s="2">
        <v>13645169866</v>
      </c>
      <c r="E62" s="2" t="s">
        <v>152</v>
      </c>
      <c r="F62" s="3" t="s">
        <v>2</v>
      </c>
      <c r="G62" s="15" t="s">
        <v>70</v>
      </c>
      <c r="H62" s="2" t="s">
        <v>153</v>
      </c>
      <c r="I62" s="20">
        <v>44895</v>
      </c>
    </row>
    <row r="63" spans="1:9">
      <c r="A63" s="9">
        <f t="shared" si="6"/>
        <v>62</v>
      </c>
      <c r="B63" s="15" t="s">
        <v>196</v>
      </c>
      <c r="C63" s="15" t="s">
        <v>100</v>
      </c>
      <c r="D63" s="2">
        <v>13905182138</v>
      </c>
      <c r="E63" s="2" t="s">
        <v>101</v>
      </c>
      <c r="F63" s="3" t="s">
        <v>61</v>
      </c>
      <c r="G63" s="15" t="s">
        <v>56</v>
      </c>
      <c r="H63" s="2" t="s">
        <v>91</v>
      </c>
      <c r="I63" s="20">
        <v>44895</v>
      </c>
    </row>
    <row r="64" spans="1:9">
      <c r="A64" s="9">
        <f t="shared" si="6"/>
        <v>63</v>
      </c>
      <c r="B64" s="15" t="s">
        <v>197</v>
      </c>
      <c r="C64" s="15" t="s">
        <v>100</v>
      </c>
      <c r="D64" s="2">
        <v>13905182138</v>
      </c>
      <c r="E64" s="2" t="s">
        <v>101</v>
      </c>
      <c r="F64" s="3" t="s">
        <v>61</v>
      </c>
      <c r="G64" s="15" t="s">
        <v>56</v>
      </c>
      <c r="H64" s="2" t="s">
        <v>91</v>
      </c>
      <c r="I64" s="20">
        <v>44895</v>
      </c>
    </row>
    <row r="65" spans="1:9">
      <c r="A65" s="9">
        <f t="shared" si="6"/>
        <v>64</v>
      </c>
      <c r="B65" s="15" t="s">
        <v>198</v>
      </c>
      <c r="C65" s="15" t="s">
        <v>100</v>
      </c>
      <c r="D65" s="2">
        <v>13905182138</v>
      </c>
      <c r="E65" s="2" t="s">
        <v>101</v>
      </c>
      <c r="F65" s="3" t="s">
        <v>61</v>
      </c>
      <c r="G65" s="15" t="s">
        <v>56</v>
      </c>
      <c r="H65" s="2" t="s">
        <v>91</v>
      </c>
      <c r="I65" s="20">
        <v>44895</v>
      </c>
    </row>
    <row r="66" spans="1:9">
      <c r="A66" s="9">
        <f t="shared" si="6"/>
        <v>65</v>
      </c>
      <c r="B66" s="15" t="s">
        <v>199</v>
      </c>
      <c r="C66" s="15" t="s">
        <v>100</v>
      </c>
      <c r="D66" s="2">
        <v>13905182138</v>
      </c>
      <c r="E66" s="2" t="s">
        <v>101</v>
      </c>
      <c r="F66" s="3" t="s">
        <v>61</v>
      </c>
      <c r="G66" s="15" t="s">
        <v>56</v>
      </c>
      <c r="H66" s="2" t="s">
        <v>91</v>
      </c>
      <c r="I66" s="20">
        <v>44895</v>
      </c>
    </row>
    <row r="67" spans="1:9">
      <c r="A67" s="9">
        <f t="shared" si="6"/>
        <v>66</v>
      </c>
      <c r="B67" s="15" t="s">
        <v>200</v>
      </c>
      <c r="C67" s="15" t="s">
        <v>186</v>
      </c>
      <c r="D67" s="2">
        <v>13905180226</v>
      </c>
      <c r="E67" s="2" t="s">
        <v>187</v>
      </c>
      <c r="F67" s="3" t="s">
        <v>11</v>
      </c>
      <c r="G67" s="15" t="s">
        <v>31</v>
      </c>
      <c r="H67" s="2" t="s">
        <v>135</v>
      </c>
      <c r="I67" s="20">
        <v>44895</v>
      </c>
    </row>
    <row r="68" spans="1:9">
      <c r="A68" s="9">
        <f t="shared" si="6"/>
        <v>67</v>
      </c>
      <c r="B68" s="12" t="s">
        <v>201</v>
      </c>
      <c r="C68" s="12" t="s">
        <v>202</v>
      </c>
      <c r="D68" s="2">
        <v>15050559606</v>
      </c>
      <c r="E68" s="8" t="s">
        <v>203</v>
      </c>
      <c r="F68" s="3" t="s">
        <v>6</v>
      </c>
      <c r="G68" s="2" t="s">
        <v>70</v>
      </c>
      <c r="H68" s="2" t="s">
        <v>6</v>
      </c>
      <c r="I68" s="20">
        <v>44888</v>
      </c>
    </row>
    <row r="69" spans="1:9">
      <c r="A69" s="9">
        <f t="shared" si="6"/>
        <v>68</v>
      </c>
      <c r="B69" s="2" t="s">
        <v>204</v>
      </c>
      <c r="C69" s="2" t="s">
        <v>205</v>
      </c>
      <c r="D69" s="2">
        <v>13905183170</v>
      </c>
      <c r="E69" s="2" t="s">
        <v>206</v>
      </c>
      <c r="F69" s="3" t="s">
        <v>6</v>
      </c>
      <c r="G69" s="2" t="s">
        <v>31</v>
      </c>
      <c r="H69" s="2" t="s">
        <v>6</v>
      </c>
      <c r="I69" s="20">
        <v>44985</v>
      </c>
    </row>
    <row r="70" spans="1:9">
      <c r="A70" s="9">
        <f t="shared" si="6"/>
        <v>69</v>
      </c>
      <c r="B70" s="12" t="s">
        <v>207</v>
      </c>
      <c r="C70" s="12" t="s">
        <v>208</v>
      </c>
      <c r="D70" s="2">
        <v>13905182215</v>
      </c>
      <c r="E70" s="8" t="s">
        <v>209</v>
      </c>
      <c r="F70" s="3" t="s">
        <v>210</v>
      </c>
      <c r="G70" s="2" t="s">
        <v>31</v>
      </c>
      <c r="H70" s="2" t="s">
        <v>17</v>
      </c>
      <c r="I70" s="20">
        <v>44888</v>
      </c>
    </row>
    <row r="71" spans="1:9">
      <c r="A71" s="9">
        <f t="shared" ref="A71:A78" si="7">ROW()-1</f>
        <v>70</v>
      </c>
      <c r="B71" s="12" t="s">
        <v>211</v>
      </c>
      <c r="C71" s="12" t="s">
        <v>151</v>
      </c>
      <c r="D71" s="2">
        <v>13645169866</v>
      </c>
      <c r="E71" s="8" t="s">
        <v>152</v>
      </c>
      <c r="F71" s="3" t="s">
        <v>2</v>
      </c>
      <c r="G71" s="2" t="s">
        <v>70</v>
      </c>
      <c r="H71" s="2" t="s">
        <v>153</v>
      </c>
      <c r="I71" s="20">
        <v>44888</v>
      </c>
    </row>
    <row r="72" spans="1:9">
      <c r="A72" s="9">
        <f t="shared" si="7"/>
        <v>71</v>
      </c>
      <c r="B72" s="12" t="s">
        <v>212</v>
      </c>
      <c r="C72" s="12" t="s">
        <v>59</v>
      </c>
      <c r="D72" s="12">
        <v>13905181903</v>
      </c>
      <c r="E72" s="8" t="s">
        <v>60</v>
      </c>
      <c r="F72" s="3" t="s">
        <v>61</v>
      </c>
      <c r="G72" s="12" t="s">
        <v>56</v>
      </c>
      <c r="H72" s="12" t="s">
        <v>91</v>
      </c>
      <c r="I72" s="32">
        <v>44881</v>
      </c>
    </row>
    <row r="73" spans="1:9">
      <c r="A73" s="9">
        <f t="shared" si="7"/>
        <v>72</v>
      </c>
      <c r="B73" s="12" t="s">
        <v>213</v>
      </c>
      <c r="C73" s="12" t="s">
        <v>59</v>
      </c>
      <c r="D73" s="12">
        <v>13905181903</v>
      </c>
      <c r="E73" s="8" t="s">
        <v>60</v>
      </c>
      <c r="F73" s="3" t="s">
        <v>61</v>
      </c>
      <c r="G73" s="12" t="s">
        <v>56</v>
      </c>
      <c r="H73" s="12" t="s">
        <v>91</v>
      </c>
      <c r="I73" s="32">
        <v>44881</v>
      </c>
    </row>
    <row r="74" spans="1:9">
      <c r="A74" s="9">
        <f t="shared" si="7"/>
        <v>73</v>
      </c>
      <c r="B74" s="12" t="s">
        <v>214</v>
      </c>
      <c r="C74" s="12" t="s">
        <v>147</v>
      </c>
      <c r="D74" s="2">
        <v>13905182359</v>
      </c>
      <c r="E74" s="8" t="s">
        <v>148</v>
      </c>
      <c r="F74" s="3" t="s">
        <v>9</v>
      </c>
      <c r="G74" s="2" t="s">
        <v>31</v>
      </c>
      <c r="H74" s="2" t="s">
        <v>9</v>
      </c>
      <c r="I74" s="20">
        <v>44888</v>
      </c>
    </row>
    <row r="75" spans="1:9">
      <c r="A75" s="9">
        <f t="shared" si="7"/>
        <v>74</v>
      </c>
      <c r="B75" s="12" t="s">
        <v>215</v>
      </c>
      <c r="C75" s="12" t="s">
        <v>216</v>
      </c>
      <c r="D75" s="8">
        <v>13815889925</v>
      </c>
      <c r="E75" s="8" t="s">
        <v>217</v>
      </c>
      <c r="F75" s="3" t="s">
        <v>7</v>
      </c>
      <c r="G75" s="2" t="s">
        <v>31</v>
      </c>
      <c r="H75" s="2" t="s">
        <v>218</v>
      </c>
      <c r="I75" s="32">
        <v>44865</v>
      </c>
    </row>
    <row r="76" spans="1:9">
      <c r="A76" s="9">
        <f t="shared" si="7"/>
        <v>75</v>
      </c>
      <c r="B76" s="12" t="s">
        <v>219</v>
      </c>
      <c r="C76" s="12" t="s">
        <v>220</v>
      </c>
      <c r="D76" s="8">
        <v>13770770201</v>
      </c>
      <c r="E76" s="8" t="s">
        <v>221</v>
      </c>
      <c r="F76" s="3" t="s">
        <v>2</v>
      </c>
      <c r="G76" s="2" t="s">
        <v>70</v>
      </c>
      <c r="H76" s="2" t="s">
        <v>222</v>
      </c>
      <c r="I76" s="20">
        <v>44865</v>
      </c>
    </row>
    <row r="77" spans="1:9">
      <c r="A77" s="9">
        <f t="shared" si="7"/>
        <v>76</v>
      </c>
      <c r="B77" s="12" t="s">
        <v>223</v>
      </c>
      <c r="C77" s="12" t="s">
        <v>220</v>
      </c>
      <c r="D77" s="8">
        <v>13770770201</v>
      </c>
      <c r="E77" s="8" t="s">
        <v>221</v>
      </c>
      <c r="F77" s="3" t="s">
        <v>2</v>
      </c>
      <c r="G77" s="2" t="s">
        <v>70</v>
      </c>
      <c r="H77" s="2" t="s">
        <v>222</v>
      </c>
      <c r="I77" s="32">
        <v>44865</v>
      </c>
    </row>
    <row r="78" spans="1:9">
      <c r="A78" s="9">
        <f t="shared" si="7"/>
        <v>77</v>
      </c>
      <c r="B78" s="12" t="s">
        <v>224</v>
      </c>
      <c r="C78" s="12" t="s">
        <v>111</v>
      </c>
      <c r="D78" s="8">
        <v>13912980692</v>
      </c>
      <c r="E78" s="8" t="s">
        <v>112</v>
      </c>
      <c r="F78" s="3" t="s">
        <v>3</v>
      </c>
      <c r="G78" s="2" t="s">
        <v>70</v>
      </c>
      <c r="H78" s="2" t="s">
        <v>43</v>
      </c>
      <c r="I78" s="20">
        <v>44865</v>
      </c>
    </row>
    <row r="79" spans="1:9">
      <c r="A79" s="9">
        <f t="shared" ref="A79:A86" si="8">ROW()-1</f>
        <v>78</v>
      </c>
      <c r="B79" s="12" t="s">
        <v>225</v>
      </c>
      <c r="C79" s="12" t="s">
        <v>144</v>
      </c>
      <c r="D79" s="9">
        <v>13905182436</v>
      </c>
      <c r="E79" s="8" t="s">
        <v>145</v>
      </c>
      <c r="F79" s="3" t="s">
        <v>3</v>
      </c>
      <c r="G79" s="9" t="s">
        <v>70</v>
      </c>
      <c r="H79" s="9" t="s">
        <v>91</v>
      </c>
      <c r="I79" s="32">
        <v>44862</v>
      </c>
    </row>
    <row r="80" spans="1:9">
      <c r="A80" s="9">
        <f t="shared" si="8"/>
        <v>79</v>
      </c>
      <c r="B80" s="12" t="s">
        <v>226</v>
      </c>
      <c r="C80" s="10" t="s">
        <v>227</v>
      </c>
      <c r="D80" s="9">
        <v>13905186725</v>
      </c>
      <c r="E80" s="8" t="s">
        <v>228</v>
      </c>
      <c r="F80" s="3" t="s">
        <v>3</v>
      </c>
      <c r="G80" s="9" t="s">
        <v>70</v>
      </c>
      <c r="H80" s="9" t="s">
        <v>91</v>
      </c>
      <c r="I80" s="32">
        <v>44862</v>
      </c>
    </row>
    <row r="81" spans="1:9">
      <c r="A81" s="9">
        <f t="shared" si="8"/>
        <v>80</v>
      </c>
      <c r="B81" s="12" t="s">
        <v>229</v>
      </c>
      <c r="C81" s="10" t="s">
        <v>230</v>
      </c>
      <c r="D81" s="8">
        <v>15951828622</v>
      </c>
      <c r="E81" s="8" t="s">
        <v>231</v>
      </c>
      <c r="F81" s="3" t="s">
        <v>232</v>
      </c>
      <c r="G81" s="9" t="s">
        <v>31</v>
      </c>
      <c r="H81" s="9" t="s">
        <v>233</v>
      </c>
      <c r="I81" s="32">
        <v>44862</v>
      </c>
    </row>
    <row r="82" spans="1:9">
      <c r="A82" s="9">
        <f t="shared" si="8"/>
        <v>81</v>
      </c>
      <c r="B82" s="25" t="s">
        <v>234</v>
      </c>
      <c r="C82" s="9" t="s">
        <v>84</v>
      </c>
      <c r="D82" s="9">
        <v>13905189624</v>
      </c>
      <c r="E82" s="8" t="s">
        <v>85</v>
      </c>
      <c r="F82" s="3" t="s">
        <v>7</v>
      </c>
      <c r="G82" s="9" t="s">
        <v>31</v>
      </c>
      <c r="H82" s="9" t="s">
        <v>235</v>
      </c>
      <c r="I82" s="32">
        <v>44831</v>
      </c>
    </row>
    <row r="83" spans="1:9">
      <c r="A83" s="9">
        <f t="shared" si="8"/>
        <v>82</v>
      </c>
      <c r="B83" s="17" t="s">
        <v>236</v>
      </c>
      <c r="C83" s="26" t="s">
        <v>117</v>
      </c>
      <c r="D83" s="19">
        <v>13905181072</v>
      </c>
      <c r="E83" s="8" t="s">
        <v>118</v>
      </c>
      <c r="F83" s="3" t="s">
        <v>3</v>
      </c>
      <c r="G83" s="18" t="s">
        <v>70</v>
      </c>
      <c r="H83" s="18" t="s">
        <v>43</v>
      </c>
      <c r="I83" s="33">
        <v>44831</v>
      </c>
    </row>
    <row r="84" spans="1:9">
      <c r="A84" s="9">
        <f t="shared" si="8"/>
        <v>83</v>
      </c>
      <c r="B84" s="15" t="s">
        <v>237</v>
      </c>
      <c r="C84" s="13" t="s">
        <v>238</v>
      </c>
      <c r="D84" s="11">
        <v>13905182309</v>
      </c>
      <c r="E84" s="8" t="s">
        <v>239</v>
      </c>
      <c r="F84" s="3" t="s">
        <v>2</v>
      </c>
      <c r="G84" s="2" t="s">
        <v>70</v>
      </c>
      <c r="H84" s="2" t="s">
        <v>240</v>
      </c>
      <c r="I84" s="22">
        <v>44827</v>
      </c>
    </row>
    <row r="85" spans="1:9">
      <c r="A85" s="9">
        <f t="shared" si="8"/>
        <v>84</v>
      </c>
      <c r="B85" s="15" t="s">
        <v>241</v>
      </c>
      <c r="C85" s="13" t="s">
        <v>111</v>
      </c>
      <c r="D85" s="11">
        <v>13912980692</v>
      </c>
      <c r="E85" s="8" t="s">
        <v>112</v>
      </c>
      <c r="F85" s="3" t="s">
        <v>3</v>
      </c>
      <c r="G85" s="2" t="s">
        <v>70</v>
      </c>
      <c r="H85" s="2" t="s">
        <v>91</v>
      </c>
      <c r="I85" s="22">
        <v>44827</v>
      </c>
    </row>
    <row r="86" spans="1:9">
      <c r="A86" s="9">
        <f t="shared" si="8"/>
        <v>85</v>
      </c>
      <c r="B86" s="15" t="s">
        <v>242</v>
      </c>
      <c r="C86" s="13" t="s">
        <v>243</v>
      </c>
      <c r="D86" s="11">
        <v>13905183065</v>
      </c>
      <c r="E86" s="8" t="s">
        <v>244</v>
      </c>
      <c r="F86" s="3" t="s">
        <v>3</v>
      </c>
      <c r="G86" s="2" t="s">
        <v>70</v>
      </c>
      <c r="H86" s="2" t="s">
        <v>91</v>
      </c>
      <c r="I86" s="22">
        <v>44827</v>
      </c>
    </row>
    <row r="87" spans="1:9">
      <c r="A87" s="9">
        <f t="shared" ref="A87:A96" si="9">ROW()-1</f>
        <v>86</v>
      </c>
      <c r="B87" s="15" t="s">
        <v>245</v>
      </c>
      <c r="C87" s="13" t="s">
        <v>246</v>
      </c>
      <c r="D87" s="11">
        <v>13952059900</v>
      </c>
      <c r="E87" s="8" t="s">
        <v>180</v>
      </c>
      <c r="F87" s="3" t="s">
        <v>3</v>
      </c>
      <c r="G87" s="2" t="s">
        <v>70</v>
      </c>
      <c r="H87" s="2" t="s">
        <v>164</v>
      </c>
      <c r="I87" s="22">
        <v>44827</v>
      </c>
    </row>
    <row r="88" spans="1:9">
      <c r="A88" s="9">
        <f t="shared" si="9"/>
        <v>87</v>
      </c>
      <c r="B88" s="15" t="s">
        <v>247</v>
      </c>
      <c r="C88" s="13" t="s">
        <v>114</v>
      </c>
      <c r="D88" s="11">
        <v>13905181096</v>
      </c>
      <c r="E88" s="8" t="s">
        <v>115</v>
      </c>
      <c r="F88" s="3" t="s">
        <v>3</v>
      </c>
      <c r="G88" s="2" t="s">
        <v>70</v>
      </c>
      <c r="H88" s="2" t="s">
        <v>43</v>
      </c>
      <c r="I88" s="22">
        <v>44827</v>
      </c>
    </row>
    <row r="89" spans="1:9">
      <c r="A89" s="9">
        <f t="shared" si="9"/>
        <v>88</v>
      </c>
      <c r="B89" s="15" t="s">
        <v>248</v>
      </c>
      <c r="C89" s="13" t="s">
        <v>249</v>
      </c>
      <c r="D89" s="11">
        <v>13913950534</v>
      </c>
      <c r="E89" s="8" t="s">
        <v>250</v>
      </c>
      <c r="F89" s="3" t="s">
        <v>3</v>
      </c>
      <c r="G89" s="2" t="s">
        <v>70</v>
      </c>
      <c r="H89" s="2" t="s">
        <v>164</v>
      </c>
      <c r="I89" s="22">
        <v>44826</v>
      </c>
    </row>
    <row r="90" spans="1:9">
      <c r="A90" s="9">
        <f t="shared" si="9"/>
        <v>89</v>
      </c>
      <c r="B90" s="2" t="s">
        <v>251</v>
      </c>
      <c r="C90" s="2" t="s">
        <v>252</v>
      </c>
      <c r="D90" s="11">
        <v>13905182005</v>
      </c>
      <c r="E90" s="8" t="s">
        <v>253</v>
      </c>
      <c r="F90" s="3" t="s">
        <v>6</v>
      </c>
      <c r="G90" s="2" t="s">
        <v>31</v>
      </c>
      <c r="H90" s="2" t="s">
        <v>254</v>
      </c>
      <c r="I90" s="20">
        <v>44804</v>
      </c>
    </row>
    <row r="91" spans="1:9">
      <c r="A91" s="9">
        <f t="shared" si="9"/>
        <v>90</v>
      </c>
      <c r="B91" s="2" t="s">
        <v>255</v>
      </c>
      <c r="C91" s="2" t="s">
        <v>130</v>
      </c>
      <c r="D91" s="11">
        <v>13905182932</v>
      </c>
      <c r="E91" s="8" t="s">
        <v>131</v>
      </c>
      <c r="F91" s="3" t="s">
        <v>256</v>
      </c>
      <c r="G91" s="2" t="s">
        <v>31</v>
      </c>
      <c r="H91" s="2" t="s">
        <v>91</v>
      </c>
      <c r="I91" s="20">
        <v>44804</v>
      </c>
    </row>
    <row r="92" spans="1:9">
      <c r="A92" s="9">
        <f t="shared" si="9"/>
        <v>91</v>
      </c>
      <c r="B92" s="2" t="s">
        <v>257</v>
      </c>
      <c r="C92" s="2" t="s">
        <v>258</v>
      </c>
      <c r="D92" s="11">
        <v>13770609150</v>
      </c>
      <c r="E92" s="8" t="s">
        <v>259</v>
      </c>
      <c r="F92" s="3" t="s">
        <v>260</v>
      </c>
      <c r="G92" s="2" t="s">
        <v>31</v>
      </c>
      <c r="H92" s="2" t="s">
        <v>170</v>
      </c>
      <c r="I92" s="20">
        <v>44804</v>
      </c>
    </row>
    <row r="93" spans="1:9">
      <c r="A93" s="9">
        <f t="shared" si="9"/>
        <v>92</v>
      </c>
      <c r="B93" s="2" t="s">
        <v>261</v>
      </c>
      <c r="C93" s="2" t="s">
        <v>249</v>
      </c>
      <c r="D93" s="11">
        <v>13913950534</v>
      </c>
      <c r="E93" s="8" t="s">
        <v>250</v>
      </c>
      <c r="F93" s="3" t="s">
        <v>3</v>
      </c>
      <c r="G93" s="2" t="s">
        <v>70</v>
      </c>
      <c r="H93" s="2" t="s">
        <v>164</v>
      </c>
      <c r="I93" s="20">
        <v>44804</v>
      </c>
    </row>
    <row r="94" spans="1:9">
      <c r="A94" s="9">
        <f t="shared" si="9"/>
        <v>93</v>
      </c>
      <c r="B94" s="2" t="s">
        <v>262</v>
      </c>
      <c r="C94" s="2" t="s">
        <v>263</v>
      </c>
      <c r="D94" s="11">
        <v>13905181159</v>
      </c>
      <c r="E94" s="8" t="s">
        <v>264</v>
      </c>
      <c r="F94" s="3" t="s">
        <v>3</v>
      </c>
      <c r="G94" s="2" t="s">
        <v>70</v>
      </c>
      <c r="H94" s="2" t="s">
        <v>91</v>
      </c>
      <c r="I94" s="20">
        <v>44804</v>
      </c>
    </row>
    <row r="95" spans="1:9">
      <c r="A95" s="9">
        <f t="shared" si="9"/>
        <v>94</v>
      </c>
      <c r="B95" s="2" t="s">
        <v>265</v>
      </c>
      <c r="C95" s="2" t="s">
        <v>117</v>
      </c>
      <c r="D95" s="11">
        <v>13905181072</v>
      </c>
      <c r="E95" s="8" t="s">
        <v>118</v>
      </c>
      <c r="F95" s="3" t="s">
        <v>3</v>
      </c>
      <c r="G95" s="2" t="s">
        <v>70</v>
      </c>
      <c r="H95" s="2" t="s">
        <v>43</v>
      </c>
      <c r="I95" s="20">
        <v>44804</v>
      </c>
    </row>
    <row r="96" spans="1:9">
      <c r="A96" s="9">
        <f t="shared" si="9"/>
        <v>95</v>
      </c>
      <c r="B96" s="2" t="s">
        <v>266</v>
      </c>
      <c r="C96" s="2" t="s">
        <v>267</v>
      </c>
      <c r="D96" s="11">
        <v>13905182371</v>
      </c>
      <c r="E96" s="8" t="s">
        <v>268</v>
      </c>
      <c r="F96" s="3" t="s">
        <v>5</v>
      </c>
      <c r="G96" s="2" t="s">
        <v>31</v>
      </c>
      <c r="H96" s="2" t="s">
        <v>91</v>
      </c>
      <c r="I96" s="20">
        <v>44796</v>
      </c>
    </row>
    <row r="97" spans="1:9">
      <c r="A97" s="9">
        <f t="shared" ref="A97:A104" si="10">ROW()-1</f>
        <v>96</v>
      </c>
      <c r="B97" s="27" t="s">
        <v>269</v>
      </c>
      <c r="C97" s="2" t="s">
        <v>267</v>
      </c>
      <c r="D97" s="11">
        <v>13905182371</v>
      </c>
      <c r="E97" s="8" t="s">
        <v>268</v>
      </c>
      <c r="F97" s="3" t="s">
        <v>5</v>
      </c>
      <c r="G97" s="2" t="s">
        <v>31</v>
      </c>
      <c r="H97" s="2" t="s">
        <v>91</v>
      </c>
      <c r="I97" s="20">
        <v>44765</v>
      </c>
    </row>
    <row r="98" spans="1:9">
      <c r="A98" s="9">
        <f t="shared" si="10"/>
        <v>97</v>
      </c>
      <c r="B98" s="27" t="s">
        <v>270</v>
      </c>
      <c r="C98" s="2" t="s">
        <v>258</v>
      </c>
      <c r="D98" s="11">
        <v>13770609150</v>
      </c>
      <c r="E98" s="8" t="s">
        <v>259</v>
      </c>
      <c r="F98" s="3" t="s">
        <v>271</v>
      </c>
      <c r="G98" s="2" t="s">
        <v>31</v>
      </c>
      <c r="H98" s="2" t="s">
        <v>17</v>
      </c>
      <c r="I98" s="20">
        <v>44765</v>
      </c>
    </row>
    <row r="99" spans="1:9">
      <c r="A99" s="9">
        <f t="shared" si="10"/>
        <v>98</v>
      </c>
      <c r="B99" s="27" t="s">
        <v>272</v>
      </c>
      <c r="C99" s="2" t="s">
        <v>258</v>
      </c>
      <c r="D99" s="11">
        <v>13770609150</v>
      </c>
      <c r="E99" s="8" t="s">
        <v>259</v>
      </c>
      <c r="F99" s="3" t="s">
        <v>271</v>
      </c>
      <c r="G99" s="2" t="s">
        <v>31</v>
      </c>
      <c r="H99" s="2" t="s">
        <v>17</v>
      </c>
      <c r="I99" s="20">
        <v>44765</v>
      </c>
    </row>
    <row r="100" spans="1:9">
      <c r="A100" s="9">
        <f t="shared" si="10"/>
        <v>99</v>
      </c>
      <c r="B100" s="27" t="s">
        <v>273</v>
      </c>
      <c r="C100" s="2" t="s">
        <v>274</v>
      </c>
      <c r="D100" s="11">
        <v>13905185263</v>
      </c>
      <c r="E100" s="8" t="s">
        <v>275</v>
      </c>
      <c r="F100" s="3" t="s">
        <v>4</v>
      </c>
      <c r="G100" s="2" t="s">
        <v>31</v>
      </c>
      <c r="H100" s="28" t="s">
        <v>135</v>
      </c>
      <c r="I100" s="20">
        <v>44765</v>
      </c>
    </row>
    <row r="101" spans="1:9">
      <c r="A101" s="9">
        <f t="shared" si="10"/>
        <v>100</v>
      </c>
      <c r="B101" s="27" t="s">
        <v>276</v>
      </c>
      <c r="C101" s="2" t="s">
        <v>277</v>
      </c>
      <c r="D101" s="11">
        <v>13905182390</v>
      </c>
      <c r="E101" s="8" t="s">
        <v>278</v>
      </c>
      <c r="F101" s="3" t="s">
        <v>4</v>
      </c>
      <c r="G101" s="29" t="s">
        <v>31</v>
      </c>
      <c r="H101" s="2" t="s">
        <v>91</v>
      </c>
      <c r="I101" s="20">
        <v>44765</v>
      </c>
    </row>
    <row r="102" spans="1:9">
      <c r="A102" s="9">
        <f t="shared" si="10"/>
        <v>101</v>
      </c>
      <c r="B102" s="27" t="s">
        <v>279</v>
      </c>
      <c r="C102" s="2" t="s">
        <v>130</v>
      </c>
      <c r="D102" s="11">
        <v>13905182932</v>
      </c>
      <c r="E102" s="8" t="s">
        <v>131</v>
      </c>
      <c r="F102" s="3" t="s">
        <v>4</v>
      </c>
      <c r="G102" s="29" t="s">
        <v>31</v>
      </c>
      <c r="H102" s="2" t="s">
        <v>39</v>
      </c>
      <c r="I102" s="20">
        <v>44765</v>
      </c>
    </row>
    <row r="103" spans="1:9">
      <c r="A103" s="9">
        <f t="shared" si="10"/>
        <v>102</v>
      </c>
      <c r="B103" s="27" t="s">
        <v>280</v>
      </c>
      <c r="C103" s="2" t="s">
        <v>130</v>
      </c>
      <c r="D103" s="11">
        <v>13905182932</v>
      </c>
      <c r="E103" s="8" t="s">
        <v>131</v>
      </c>
      <c r="F103" s="3" t="s">
        <v>4</v>
      </c>
      <c r="G103" s="29" t="s">
        <v>31</v>
      </c>
      <c r="H103" s="2" t="s">
        <v>35</v>
      </c>
      <c r="I103" s="20">
        <v>44765</v>
      </c>
    </row>
    <row r="104" spans="1:9" ht="21" customHeight="1">
      <c r="A104" s="9">
        <f t="shared" si="10"/>
        <v>103</v>
      </c>
      <c r="B104" s="27" t="s">
        <v>281</v>
      </c>
      <c r="C104" s="2" t="s">
        <v>282</v>
      </c>
      <c r="D104" s="11">
        <v>15895885399</v>
      </c>
      <c r="E104" s="31" t="s">
        <v>283</v>
      </c>
      <c r="F104" s="3" t="s">
        <v>284</v>
      </c>
      <c r="G104" s="29" t="s">
        <v>31</v>
      </c>
      <c r="H104" s="2" t="s">
        <v>285</v>
      </c>
      <c r="I104" s="20">
        <v>44765</v>
      </c>
    </row>
    <row r="105" spans="1:9">
      <c r="A105" s="9">
        <f t="shared" ref="A105:A119" si="11">ROW()-1</f>
        <v>104</v>
      </c>
      <c r="B105" s="27" t="s">
        <v>286</v>
      </c>
      <c r="C105" s="7" t="s">
        <v>68</v>
      </c>
      <c r="D105" s="11">
        <v>13905189614</v>
      </c>
      <c r="E105" s="8" t="s">
        <v>69</v>
      </c>
      <c r="F105" s="3" t="s">
        <v>61</v>
      </c>
      <c r="G105" s="2" t="s">
        <v>31</v>
      </c>
      <c r="H105" s="2" t="s">
        <v>62</v>
      </c>
      <c r="I105" s="20">
        <v>44742</v>
      </c>
    </row>
    <row r="106" spans="1:9">
      <c r="A106" s="9">
        <f t="shared" si="11"/>
        <v>105</v>
      </c>
      <c r="B106" s="27" t="s">
        <v>287</v>
      </c>
      <c r="C106" s="30" t="s">
        <v>141</v>
      </c>
      <c r="D106" s="11">
        <v>13901584566</v>
      </c>
      <c r="E106" s="8" t="s">
        <v>142</v>
      </c>
      <c r="F106" s="3" t="s">
        <v>2</v>
      </c>
      <c r="G106" s="2" t="s">
        <v>70</v>
      </c>
      <c r="H106" s="2" t="s">
        <v>91</v>
      </c>
      <c r="I106" s="20">
        <v>44742</v>
      </c>
    </row>
    <row r="107" spans="1:9">
      <c r="A107" s="9">
        <f t="shared" si="11"/>
        <v>106</v>
      </c>
      <c r="B107" s="27" t="s">
        <v>288</v>
      </c>
      <c r="C107" s="2" t="s">
        <v>168</v>
      </c>
      <c r="D107" s="11">
        <v>13851603292</v>
      </c>
      <c r="E107" s="8" t="s">
        <v>169</v>
      </c>
      <c r="F107" s="3" t="s">
        <v>2</v>
      </c>
      <c r="G107" s="2" t="s">
        <v>70</v>
      </c>
      <c r="H107" s="2" t="s">
        <v>91</v>
      </c>
      <c r="I107" s="20">
        <v>44733</v>
      </c>
    </row>
    <row r="108" spans="1:9">
      <c r="A108" s="9">
        <f t="shared" si="11"/>
        <v>107</v>
      </c>
      <c r="B108" s="27" t="s">
        <v>289</v>
      </c>
      <c r="C108" s="2" t="s">
        <v>290</v>
      </c>
      <c r="D108" s="11">
        <v>13905182622</v>
      </c>
      <c r="E108" s="8" t="s">
        <v>291</v>
      </c>
      <c r="F108" s="3" t="s">
        <v>4</v>
      </c>
      <c r="G108" s="2" t="s">
        <v>31</v>
      </c>
      <c r="H108" s="2" t="s">
        <v>91</v>
      </c>
      <c r="I108" s="2" t="s">
        <v>292</v>
      </c>
    </row>
    <row r="109" spans="1:9">
      <c r="A109" s="9">
        <f t="shared" si="11"/>
        <v>108</v>
      </c>
      <c r="B109" s="27" t="s">
        <v>293</v>
      </c>
      <c r="C109" s="2" t="s">
        <v>230</v>
      </c>
      <c r="D109" s="11">
        <v>15951828622</v>
      </c>
      <c r="E109" s="8" t="s">
        <v>231</v>
      </c>
      <c r="F109" s="3" t="s">
        <v>232</v>
      </c>
      <c r="G109" s="2" t="s">
        <v>31</v>
      </c>
      <c r="H109" s="2" t="s">
        <v>222</v>
      </c>
      <c r="I109" s="20">
        <v>44673</v>
      </c>
    </row>
    <row r="110" spans="1:9">
      <c r="A110" s="9">
        <f t="shared" si="11"/>
        <v>109</v>
      </c>
      <c r="B110" s="27" t="s">
        <v>294</v>
      </c>
      <c r="C110" s="7" t="s">
        <v>295</v>
      </c>
      <c r="D110" s="11">
        <v>15751868916</v>
      </c>
      <c r="E110" s="8" t="s">
        <v>296</v>
      </c>
      <c r="F110" s="3" t="s">
        <v>2</v>
      </c>
      <c r="G110" s="2" t="s">
        <v>70</v>
      </c>
      <c r="H110" s="2" t="s">
        <v>91</v>
      </c>
      <c r="I110" s="34" t="s">
        <v>297</v>
      </c>
    </row>
    <row r="111" spans="1:9">
      <c r="A111" s="9">
        <f t="shared" si="11"/>
        <v>110</v>
      </c>
      <c r="B111" s="27" t="s">
        <v>298</v>
      </c>
      <c r="C111" s="2" t="s">
        <v>299</v>
      </c>
      <c r="D111" s="11">
        <v>13905185927</v>
      </c>
      <c r="E111" s="8" t="s">
        <v>300</v>
      </c>
      <c r="F111" s="3" t="s">
        <v>2</v>
      </c>
      <c r="G111" s="2" t="s">
        <v>70</v>
      </c>
      <c r="H111" s="2" t="s">
        <v>91</v>
      </c>
      <c r="I111" s="34" t="s">
        <v>301</v>
      </c>
    </row>
    <row r="112" spans="1:9">
      <c r="A112" s="9">
        <f t="shared" si="11"/>
        <v>111</v>
      </c>
      <c r="B112" s="27" t="s">
        <v>302</v>
      </c>
      <c r="C112" s="2" t="s">
        <v>130</v>
      </c>
      <c r="D112" s="11">
        <v>13905182932</v>
      </c>
      <c r="E112" s="8" t="s">
        <v>131</v>
      </c>
      <c r="F112" s="3" t="s">
        <v>4</v>
      </c>
      <c r="G112" s="2" t="s">
        <v>31</v>
      </c>
      <c r="H112" s="2" t="s">
        <v>39</v>
      </c>
      <c r="I112" s="20">
        <v>44665</v>
      </c>
    </row>
    <row r="113" spans="1:9">
      <c r="A113" s="9">
        <f t="shared" si="11"/>
        <v>112</v>
      </c>
      <c r="B113" s="27" t="s">
        <v>303</v>
      </c>
      <c r="C113" s="2" t="s">
        <v>274</v>
      </c>
      <c r="D113" s="11">
        <v>13905185263</v>
      </c>
      <c r="E113" s="8" t="s">
        <v>275</v>
      </c>
      <c r="F113" s="3" t="s">
        <v>4</v>
      </c>
      <c r="G113" s="2" t="s">
        <v>31</v>
      </c>
      <c r="H113" s="2" t="s">
        <v>135</v>
      </c>
      <c r="I113" s="20">
        <v>44665</v>
      </c>
    </row>
    <row r="114" spans="1:9">
      <c r="A114" s="9">
        <f t="shared" si="11"/>
        <v>113</v>
      </c>
      <c r="B114" s="27" t="s">
        <v>304</v>
      </c>
      <c r="C114" s="2" t="s">
        <v>305</v>
      </c>
      <c r="D114" s="11">
        <v>13905182683</v>
      </c>
      <c r="E114" s="8" t="s">
        <v>306</v>
      </c>
      <c r="F114" s="3" t="s">
        <v>307</v>
      </c>
      <c r="G114" s="2" t="s">
        <v>31</v>
      </c>
      <c r="H114" s="2" t="s">
        <v>43</v>
      </c>
      <c r="I114" s="20">
        <v>44624</v>
      </c>
    </row>
    <row r="115" spans="1:9">
      <c r="A115" s="9">
        <f t="shared" si="11"/>
        <v>114</v>
      </c>
      <c r="B115" s="27" t="s">
        <v>308</v>
      </c>
      <c r="C115" s="2" t="s">
        <v>41</v>
      </c>
      <c r="D115" s="11">
        <v>15850521801</v>
      </c>
      <c r="E115" s="8" t="s">
        <v>42</v>
      </c>
      <c r="F115" s="3" t="s">
        <v>5</v>
      </c>
      <c r="G115" s="2" t="s">
        <v>31</v>
      </c>
      <c r="H115" s="2" t="s">
        <v>135</v>
      </c>
      <c r="I115" s="20">
        <v>44619</v>
      </c>
    </row>
    <row r="116" spans="1:9">
      <c r="A116" s="9">
        <f t="shared" si="11"/>
        <v>115</v>
      </c>
      <c r="B116" s="27" t="s">
        <v>309</v>
      </c>
      <c r="C116" s="2" t="s">
        <v>263</v>
      </c>
      <c r="D116" s="11">
        <v>13905181159</v>
      </c>
      <c r="E116" s="8" t="s">
        <v>264</v>
      </c>
      <c r="F116" s="3" t="s">
        <v>3</v>
      </c>
      <c r="G116" s="2" t="s">
        <v>70</v>
      </c>
      <c r="H116" s="2" t="s">
        <v>91</v>
      </c>
      <c r="I116" s="20">
        <v>44619</v>
      </c>
    </row>
    <row r="117" spans="1:9">
      <c r="A117" s="9">
        <f t="shared" si="11"/>
        <v>116</v>
      </c>
      <c r="B117" s="27" t="s">
        <v>310</v>
      </c>
      <c r="C117" s="18" t="s">
        <v>41</v>
      </c>
      <c r="D117" s="11">
        <v>15850521801</v>
      </c>
      <c r="E117" s="8" t="s">
        <v>42</v>
      </c>
      <c r="F117" s="3" t="s">
        <v>5</v>
      </c>
      <c r="G117" s="18" t="s">
        <v>31</v>
      </c>
      <c r="H117" s="18" t="s">
        <v>43</v>
      </c>
      <c r="I117" s="23">
        <v>44617</v>
      </c>
    </row>
    <row r="118" spans="1:9">
      <c r="A118" s="9">
        <f t="shared" si="11"/>
        <v>117</v>
      </c>
      <c r="B118" s="27" t="s">
        <v>311</v>
      </c>
      <c r="C118" s="2" t="s">
        <v>41</v>
      </c>
      <c r="D118" s="11">
        <v>15850521801</v>
      </c>
      <c r="E118" s="8" t="s">
        <v>42</v>
      </c>
      <c r="F118" s="3" t="s">
        <v>5</v>
      </c>
      <c r="G118" s="2" t="s">
        <v>31</v>
      </c>
      <c r="H118" s="2" t="s">
        <v>43</v>
      </c>
      <c r="I118" s="20">
        <v>44617</v>
      </c>
    </row>
    <row r="119" spans="1:9">
      <c r="A119" s="9">
        <f t="shared" si="11"/>
        <v>118</v>
      </c>
      <c r="B119" s="27" t="s">
        <v>312</v>
      </c>
      <c r="C119" s="2" t="s">
        <v>141</v>
      </c>
      <c r="D119" s="11">
        <v>13901584566</v>
      </c>
      <c r="E119" s="8" t="s">
        <v>142</v>
      </c>
      <c r="F119" s="3" t="s">
        <v>2</v>
      </c>
      <c r="G119" s="2" t="s">
        <v>70</v>
      </c>
      <c r="H119" s="2" t="s">
        <v>313</v>
      </c>
      <c r="I119" s="20">
        <v>44568</v>
      </c>
    </row>
    <row r="120" spans="1:9">
      <c r="A120" s="9">
        <f t="shared" ref="A120:A130" si="12">ROW()-1</f>
        <v>119</v>
      </c>
      <c r="B120" s="27" t="s">
        <v>314</v>
      </c>
      <c r="C120" s="2" t="s">
        <v>41</v>
      </c>
      <c r="D120" s="11">
        <v>15850521801</v>
      </c>
      <c r="E120" s="8" t="s">
        <v>42</v>
      </c>
      <c r="F120" s="3" t="s">
        <v>5</v>
      </c>
      <c r="G120" s="2" t="s">
        <v>31</v>
      </c>
      <c r="H120" s="2" t="s">
        <v>43</v>
      </c>
      <c r="I120" s="2" t="s">
        <v>315</v>
      </c>
    </row>
    <row r="121" spans="1:9">
      <c r="A121" s="9">
        <f t="shared" si="12"/>
        <v>120</v>
      </c>
      <c r="B121" s="27" t="s">
        <v>316</v>
      </c>
      <c r="C121" s="2" t="s">
        <v>130</v>
      </c>
      <c r="D121" s="11">
        <v>13905182932</v>
      </c>
      <c r="E121" s="8" t="s">
        <v>131</v>
      </c>
      <c r="F121" s="3" t="s">
        <v>4</v>
      </c>
      <c r="G121" s="2" t="s">
        <v>31</v>
      </c>
      <c r="H121" s="2" t="s">
        <v>39</v>
      </c>
      <c r="I121" s="20">
        <v>44536</v>
      </c>
    </row>
    <row r="122" spans="1:9">
      <c r="A122" s="9">
        <f t="shared" si="12"/>
        <v>121</v>
      </c>
      <c r="B122" s="27" t="s">
        <v>317</v>
      </c>
      <c r="C122" s="13" t="s">
        <v>318</v>
      </c>
      <c r="D122" s="11">
        <v>15850688565</v>
      </c>
      <c r="E122" s="8" t="s">
        <v>319</v>
      </c>
      <c r="F122" s="3" t="s">
        <v>5</v>
      </c>
      <c r="G122" s="13" t="s">
        <v>31</v>
      </c>
      <c r="H122" s="13" t="s">
        <v>170</v>
      </c>
      <c r="I122" s="22">
        <v>44530</v>
      </c>
    </row>
    <row r="123" spans="1:9">
      <c r="A123" s="9">
        <f t="shared" si="12"/>
        <v>122</v>
      </c>
      <c r="B123" s="27" t="s">
        <v>320</v>
      </c>
      <c r="C123" s="2" t="s">
        <v>141</v>
      </c>
      <c r="D123" s="11">
        <v>13901584566</v>
      </c>
      <c r="E123" s="8" t="s">
        <v>142</v>
      </c>
      <c r="F123" s="3" t="s">
        <v>2</v>
      </c>
      <c r="G123" s="2" t="s">
        <v>70</v>
      </c>
      <c r="H123" s="2" t="s">
        <v>91</v>
      </c>
      <c r="I123" s="20">
        <v>44523</v>
      </c>
    </row>
    <row r="124" spans="1:9">
      <c r="A124" s="9">
        <f t="shared" si="12"/>
        <v>123</v>
      </c>
      <c r="B124" s="27" t="s">
        <v>321</v>
      </c>
      <c r="C124" s="2" t="s">
        <v>172</v>
      </c>
      <c r="D124" s="11">
        <v>13905180367</v>
      </c>
      <c r="E124" s="8" t="s">
        <v>173</v>
      </c>
      <c r="F124" s="3" t="s">
        <v>2</v>
      </c>
      <c r="G124" s="2" t="s">
        <v>70</v>
      </c>
      <c r="H124" s="2" t="s">
        <v>91</v>
      </c>
      <c r="I124" s="20">
        <v>44466</v>
      </c>
    </row>
    <row r="125" spans="1:9">
      <c r="A125" s="9">
        <f t="shared" si="12"/>
        <v>124</v>
      </c>
      <c r="B125" s="27" t="s">
        <v>322</v>
      </c>
      <c r="C125" s="2" t="s">
        <v>323</v>
      </c>
      <c r="D125" s="11">
        <v>13901580962</v>
      </c>
      <c r="E125" s="31" t="s">
        <v>324</v>
      </c>
      <c r="F125" s="3" t="s">
        <v>2</v>
      </c>
      <c r="G125" s="2" t="s">
        <v>70</v>
      </c>
      <c r="H125" s="2" t="s">
        <v>91</v>
      </c>
      <c r="I125" s="20">
        <v>44466</v>
      </c>
    </row>
    <row r="126" spans="1:9">
      <c r="A126" s="9">
        <f t="shared" si="12"/>
        <v>125</v>
      </c>
      <c r="B126" s="27" t="s">
        <v>325</v>
      </c>
      <c r="C126" s="2" t="s">
        <v>326</v>
      </c>
      <c r="D126" s="11">
        <v>13905180921</v>
      </c>
      <c r="E126" s="8" t="s">
        <v>327</v>
      </c>
      <c r="F126" s="3" t="s">
        <v>7</v>
      </c>
      <c r="G126" s="2" t="s">
        <v>31</v>
      </c>
      <c r="H126" s="2" t="s">
        <v>91</v>
      </c>
      <c r="I126" s="20">
        <v>44456</v>
      </c>
    </row>
    <row r="127" spans="1:9">
      <c r="A127" s="9">
        <f t="shared" si="12"/>
        <v>126</v>
      </c>
      <c r="B127" s="27" t="s">
        <v>328</v>
      </c>
      <c r="C127" s="2" t="s">
        <v>267</v>
      </c>
      <c r="D127" s="11">
        <v>13905182371</v>
      </c>
      <c r="E127" s="8" t="s">
        <v>268</v>
      </c>
      <c r="F127" s="3" t="s">
        <v>5</v>
      </c>
      <c r="G127" s="2" t="s">
        <v>31</v>
      </c>
      <c r="H127" s="2" t="s">
        <v>91</v>
      </c>
      <c r="I127" s="2" t="s">
        <v>329</v>
      </c>
    </row>
    <row r="128" spans="1:9">
      <c r="A128" s="9">
        <f t="shared" si="12"/>
        <v>127</v>
      </c>
      <c r="B128" s="27" t="s">
        <v>330</v>
      </c>
      <c r="C128" s="18" t="s">
        <v>331</v>
      </c>
      <c r="D128" s="11">
        <v>13905185093</v>
      </c>
      <c r="E128" s="8" t="s">
        <v>332</v>
      </c>
      <c r="F128" s="3" t="s">
        <v>5</v>
      </c>
      <c r="G128" s="18" t="s">
        <v>31</v>
      </c>
      <c r="H128" s="18" t="s">
        <v>333</v>
      </c>
      <c r="I128" s="45" t="s">
        <v>334</v>
      </c>
    </row>
    <row r="129" spans="1:9">
      <c r="A129" s="9">
        <f t="shared" si="12"/>
        <v>128</v>
      </c>
      <c r="B129" s="27" t="s">
        <v>335</v>
      </c>
      <c r="C129" s="2" t="s">
        <v>41</v>
      </c>
      <c r="D129" s="11">
        <v>15850521801</v>
      </c>
      <c r="E129" s="8" t="s">
        <v>42</v>
      </c>
      <c r="F129" s="3" t="s">
        <v>5</v>
      </c>
      <c r="G129" s="2" t="s">
        <v>31</v>
      </c>
      <c r="H129" s="2" t="s">
        <v>43</v>
      </c>
      <c r="I129" s="34" t="s">
        <v>336</v>
      </c>
    </row>
    <row r="130" spans="1:9">
      <c r="A130" s="9">
        <f t="shared" si="12"/>
        <v>129</v>
      </c>
      <c r="B130" s="27" t="s">
        <v>337</v>
      </c>
      <c r="C130" s="2" t="s">
        <v>220</v>
      </c>
      <c r="D130" s="11">
        <v>13770770201</v>
      </c>
      <c r="E130" s="8" t="s">
        <v>221</v>
      </c>
      <c r="F130" s="3" t="s">
        <v>2</v>
      </c>
      <c r="G130" s="2" t="s">
        <v>70</v>
      </c>
      <c r="H130" s="2" t="s">
        <v>222</v>
      </c>
      <c r="I130" s="34" t="s">
        <v>338</v>
      </c>
    </row>
  </sheetData>
  <phoneticPr fontId="19" type="noConversion"/>
  <conditionalFormatting sqref="B1:B2 B39:B45 B68:B1048576">
    <cfRule type="duplicateValues" dxfId="35" priority="81"/>
  </conditionalFormatting>
  <conditionalFormatting sqref="B3:B18">
    <cfRule type="duplicateValues" dxfId="34" priority="1"/>
  </conditionalFormatting>
  <conditionalFormatting sqref="B19:B21">
    <cfRule type="duplicateValues" dxfId="33" priority="2"/>
  </conditionalFormatting>
  <conditionalFormatting sqref="B22:B37">
    <cfRule type="duplicateValues" dxfId="32" priority="9"/>
  </conditionalFormatting>
  <conditionalFormatting sqref="B46">
    <cfRule type="duplicateValues" dxfId="31" priority="18"/>
  </conditionalFormatting>
  <conditionalFormatting sqref="B47:B54">
    <cfRule type="duplicateValues" dxfId="30" priority="19"/>
  </conditionalFormatting>
  <conditionalFormatting sqref="B55">
    <cfRule type="duplicateValues" dxfId="29" priority="20"/>
  </conditionalFormatting>
  <conditionalFormatting sqref="B56:B67">
    <cfRule type="duplicateValues" dxfId="28" priority="21"/>
  </conditionalFormatting>
  <conditionalFormatting sqref="C22">
    <cfRule type="duplicateValues" dxfId="27" priority="6"/>
  </conditionalFormatting>
  <conditionalFormatting sqref="C23:C34">
    <cfRule type="duplicateValues" dxfId="26" priority="5"/>
  </conditionalFormatting>
  <conditionalFormatting sqref="C106">
    <cfRule type="duplicateValues" dxfId="25" priority="22"/>
    <cfRule type="duplicateValues" dxfId="24" priority="23"/>
    <cfRule type="duplicateValues" dxfId="23" priority="24"/>
    <cfRule type="duplicateValues" dxfId="22" priority="25"/>
    <cfRule type="duplicateValues" dxfId="21" priority="26"/>
  </conditionalFormatting>
  <conditionalFormatting sqref="C35:D37 B38:D38">
    <cfRule type="duplicateValues" dxfId="20" priority="15"/>
  </conditionalFormatting>
  <conditionalFormatting sqref="E38:E39">
    <cfRule type="duplicateValues" dxfId="19" priority="16"/>
  </conditionalFormatting>
  <dataValidations count="1">
    <dataValidation type="list" allowBlank="1" showInputMessage="1" showErrorMessage="1" sqref="G41 G42 G115 G35:G38 G74:G78 G79:G104 G105:G114 G116:G117 G118:G119 G120:G130" xr:uid="{00000000-0002-0000-0100-000000000000}">
      <formula1>"数据中台,业务中台,技术中台"</formula1>
    </dataValidation>
  </dataValidations>
  <hyperlinks>
    <hyperlink ref="E90" r:id="rId1" xr:uid="{00000000-0004-0000-0100-000000000000}"/>
    <hyperlink ref="E92" r:id="rId2" xr:uid="{00000000-0004-0000-0100-000001000000}"/>
    <hyperlink ref="E93" r:id="rId3" xr:uid="{00000000-0004-0000-0100-000002000000}"/>
    <hyperlink ref="E95" r:id="rId4" xr:uid="{00000000-0004-0000-0100-000003000000}"/>
    <hyperlink ref="E83" r:id="rId5" xr:uid="{00000000-0004-0000-0100-000004000000}"/>
    <hyperlink ref="E80" r:id="rId6" tooltip="mailto:zhouzhikun@js.chinamobile.com" xr:uid="{00000000-0004-0000-0100-000005000000}"/>
    <hyperlink ref="E79" r:id="rId7" tooltip="mailto:sunyuanyuan@js.chinamobile.com" xr:uid="{00000000-0004-0000-0100-000006000000}"/>
    <hyperlink ref="E76" r:id="rId8" tooltip="mailto:liuliangsgs@js.chinamobile.com" xr:uid="{00000000-0004-0000-0100-000007000000}"/>
    <hyperlink ref="E77" r:id="rId9" xr:uid="{00000000-0004-0000-0100-000008000000}"/>
    <hyperlink ref="E78" r:id="rId10" tooltip="mailto:wuzukang@js.chinamobile.com" xr:uid="{00000000-0004-0000-0100-000009000000}"/>
    <hyperlink ref="E75" r:id="rId11" xr:uid="{00000000-0004-0000-0100-00000A000000}"/>
    <hyperlink ref="E47" r:id="rId12" xr:uid="{00000000-0004-0000-0100-00000B000000}"/>
    <hyperlink ref="E72" r:id="rId13" xr:uid="{00000000-0004-0000-0100-00000C000000}"/>
    <hyperlink ref="E73" r:id="rId14" xr:uid="{00000000-0004-0000-0100-00000D000000}"/>
    <hyperlink ref="E70" r:id="rId15" xr:uid="{00000000-0004-0000-0100-00000E000000}"/>
    <hyperlink ref="E74" r:id="rId16" xr:uid="{00000000-0004-0000-0100-00000F000000}"/>
    <hyperlink ref="E68" r:id="rId17" xr:uid="{00000000-0004-0000-0100-000010000000}"/>
    <hyperlink ref="E71" r:id="rId18" xr:uid="{00000000-0004-0000-0100-000011000000}"/>
    <hyperlink ref="E110" r:id="rId19" xr:uid="{00000000-0004-0000-0100-000012000000}"/>
    <hyperlink ref="E56" r:id="rId20" xr:uid="{00000000-0004-0000-0100-000013000000}"/>
    <hyperlink ref="E57" r:id="rId21" xr:uid="{00000000-0004-0000-0100-000014000000}"/>
    <hyperlink ref="E58" r:id="rId22" xr:uid="{00000000-0004-0000-0100-000015000000}"/>
    <hyperlink ref="E59" r:id="rId23" xr:uid="{00000000-0004-0000-0100-000016000000}"/>
    <hyperlink ref="E60" r:id="rId24" xr:uid="{00000000-0004-0000-0100-000017000000}"/>
    <hyperlink ref="E61" r:id="rId25" tooltip="mailto:chenxiaofeng@js.chinamobile.com" xr:uid="{00000000-0004-0000-0100-000018000000}"/>
    <hyperlink ref="E62" r:id="rId26" tooltip="mailto:chenleisgs1@js.chinamobile.com" xr:uid="{00000000-0004-0000-0100-000019000000}"/>
    <hyperlink ref="E63" r:id="rId27" xr:uid="{00000000-0004-0000-0100-00001A000000}"/>
    <hyperlink ref="E64" r:id="rId28" xr:uid="{00000000-0004-0000-0100-00001B000000}"/>
    <hyperlink ref="E65" r:id="rId29" xr:uid="{00000000-0004-0000-0100-00001C000000}"/>
    <hyperlink ref="E66" r:id="rId30" xr:uid="{00000000-0004-0000-0100-00001D000000}"/>
    <hyperlink ref="E67" r:id="rId31" xr:uid="{00000000-0004-0000-0100-00001E000000}"/>
    <hyperlink ref="E53" r:id="rId32" tooltip="mailto:chenxiaofeng@js.chinamobile.com" xr:uid="{00000000-0004-0000-0100-00001F000000}"/>
    <hyperlink ref="E52" r:id="rId33" xr:uid="{00000000-0004-0000-0100-000020000000}"/>
    <hyperlink ref="E49" r:id="rId34" tooltip="mailto:guqiang@js.chinamobile.com" xr:uid="{00000000-0004-0000-0100-000021000000}"/>
    <hyperlink ref="E50" r:id="rId35" xr:uid="{00000000-0004-0000-0100-000022000000}"/>
    <hyperlink ref="E51" r:id="rId36" tooltip="mailto:guqiang@js.chinamobile.com" xr:uid="{00000000-0004-0000-0100-000023000000}"/>
    <hyperlink ref="E69" r:id="rId37" tooltip="mailto:wangyingsgs2@js.chinamobile.com" xr:uid="{00000000-0004-0000-0100-000024000000}"/>
    <hyperlink ref="E48" r:id="rId38" tooltip="mailto:yangshusgs@js.chinamobile.com" xr:uid="{00000000-0004-0000-0100-000025000000}"/>
    <hyperlink ref="E54" r:id="rId39" tooltip="mailto:xukui9@js.chinamobile.com" xr:uid="{00000000-0004-0000-0100-000026000000}"/>
    <hyperlink ref="E46" r:id="rId40" tooltip="mailto:wangxueliang@js.chinamobile.com" xr:uid="{00000000-0004-0000-0100-000027000000}"/>
    <hyperlink ref="E55" r:id="rId41" xr:uid="{00000000-0004-0000-0100-000028000000}"/>
    <hyperlink ref="E45" r:id="rId42" tooltip="mailto:chenleisgs1@js.chinamobile.com" xr:uid="{00000000-0004-0000-0100-000029000000}"/>
    <hyperlink ref="E43" r:id="rId43" xr:uid="{00000000-0004-0000-0100-00002A000000}"/>
    <hyperlink ref="E44" r:id="rId44" xr:uid="{00000000-0004-0000-0100-00002B000000}"/>
    <hyperlink ref="E42" r:id="rId45" tooltip="mailto:sunyuanyuan@js.chinamobile.com" xr:uid="{00000000-0004-0000-0100-00002C000000}"/>
    <hyperlink ref="E125" r:id="rId46" xr:uid="{00000000-0004-0000-0100-00002D000000}"/>
    <hyperlink ref="E104" r:id="rId47" xr:uid="{00000000-0004-0000-0100-00002E000000}"/>
    <hyperlink ref="E39" r:id="rId48" xr:uid="{00000000-0004-0000-0100-00002F000000}"/>
    <hyperlink ref="E35" r:id="rId49" xr:uid="{00000000-0004-0000-0100-000030000000}"/>
    <hyperlink ref="E36" r:id="rId50" xr:uid="{00000000-0004-0000-0100-000031000000}"/>
    <hyperlink ref="E37" r:id="rId51" xr:uid="{00000000-0004-0000-0100-000032000000}"/>
    <hyperlink ref="E38" r:id="rId52" xr:uid="{00000000-0004-0000-0100-000033000000}"/>
    <hyperlink ref="E22" r:id="rId53" xr:uid="{00000000-0004-0000-0100-000034000000}"/>
    <hyperlink ref="E24" r:id="rId54" xr:uid="{00000000-0004-0000-0100-000035000000}"/>
    <hyperlink ref="E23" r:id="rId55" xr:uid="{00000000-0004-0000-0100-000036000000}"/>
    <hyperlink ref="E25" r:id="rId56" xr:uid="{00000000-0004-0000-0100-000037000000}"/>
    <hyperlink ref="E27" r:id="rId57" xr:uid="{00000000-0004-0000-0100-000038000000}"/>
    <hyperlink ref="E28" r:id="rId58" xr:uid="{00000000-0004-0000-0100-000039000000}"/>
    <hyperlink ref="E29" r:id="rId59" xr:uid="{00000000-0004-0000-0100-00003A000000}"/>
    <hyperlink ref="E30" r:id="rId60" xr:uid="{00000000-0004-0000-0100-00003B000000}"/>
    <hyperlink ref="E31" r:id="rId61" xr:uid="{00000000-0004-0000-0100-00003C000000}"/>
    <hyperlink ref="E32" r:id="rId62" xr:uid="{00000000-0004-0000-0100-00003D000000}"/>
    <hyperlink ref="E33" r:id="rId63" xr:uid="{00000000-0004-0000-0100-00003E000000}"/>
    <hyperlink ref="E34" r:id="rId64" xr:uid="{00000000-0004-0000-0100-00003F000000}"/>
    <hyperlink ref="E21" r:id="rId65" tooltip="mailto:guqiang@js.chinamobile.com" xr:uid="{00000000-0004-0000-0100-000040000000}"/>
    <hyperlink ref="E20" r:id="rId66" tooltip="mailto:yuxh@js.chinamobile.com" xr:uid="{00000000-0004-0000-0100-000041000000}"/>
    <hyperlink ref="E11" r:id="rId67" xr:uid="{00000000-0004-0000-0100-000042000000}"/>
    <hyperlink ref="E12" r:id="rId68" xr:uid="{00000000-0004-0000-0100-000043000000}"/>
    <hyperlink ref="E14" r:id="rId69" xr:uid="{00000000-0004-0000-0100-000044000000}"/>
    <hyperlink ref="E17" r:id="rId70" xr:uid="{00000000-0004-0000-0100-000045000000}"/>
    <hyperlink ref="E13" r:id="rId71" xr:uid="{00000000-0004-0000-0100-000046000000}"/>
    <hyperlink ref="E15" r:id="rId72" xr:uid="{00000000-0004-0000-0100-000047000000}"/>
    <hyperlink ref="E9" r:id="rId73" xr:uid="{00000000-0004-0000-0100-000048000000}"/>
    <hyperlink ref="E10" r:id="rId74" xr:uid="{00000000-0004-0000-0100-000049000000}"/>
    <hyperlink ref="E5" r:id="rId75" tooltip="mailto:fanjie@js.chinamobile.com" xr:uid="{00000000-0004-0000-0100-00004A000000}"/>
    <hyperlink ref="E6" r:id="rId76" tooltip="mailto:fanjie@js.chinamobile.com" xr:uid="{00000000-0004-0000-0100-00004B000000}"/>
    <hyperlink ref="E7" r:id="rId77" tooltip="mailto:fanjie@js.chinamobile.com" xr:uid="{00000000-0004-0000-0100-00004C000000}"/>
    <hyperlink ref="E8" r:id="rId78" tooltip="mailto:fanjie@js.chinamobile.com" xr:uid="{00000000-0004-0000-0100-00004D000000}"/>
    <hyperlink ref="E3" r:id="rId79" xr:uid="{00000000-0004-0000-0100-00004E000000}"/>
    <hyperlink ref="E4" r:id="rId80" xr:uid="{00000000-0004-0000-0100-00004F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3:E49"/>
  <sheetViews>
    <sheetView showGridLines="0" workbookViewId="0">
      <selection activeCell="C13" sqref="C13"/>
    </sheetView>
  </sheetViews>
  <sheetFormatPr defaultColWidth="9.21875" defaultRowHeight="14.4"/>
  <cols>
    <col min="1" max="1" width="15.109375"/>
    <col min="2" max="2" width="13.21875"/>
    <col min="3" max="3" width="18.109375"/>
    <col min="4" max="4" width="13.21875"/>
  </cols>
  <sheetData>
    <row r="3" spans="1:2">
      <c r="A3" t="s">
        <v>25</v>
      </c>
      <c r="B3" t="s">
        <v>339</v>
      </c>
    </row>
    <row r="4" spans="1:2">
      <c r="A4" t="s">
        <v>91</v>
      </c>
      <c r="B4">
        <v>40</v>
      </c>
    </row>
    <row r="5" spans="1:2">
      <c r="A5" t="s">
        <v>43</v>
      </c>
      <c r="B5">
        <v>16</v>
      </c>
    </row>
    <row r="6" spans="1:2">
      <c r="A6" t="s">
        <v>9</v>
      </c>
      <c r="B6">
        <v>8</v>
      </c>
    </row>
    <row r="7" spans="1:2">
      <c r="A7" t="s">
        <v>6</v>
      </c>
      <c r="B7">
        <v>7</v>
      </c>
    </row>
    <row r="8" spans="1:2">
      <c r="A8" t="s">
        <v>164</v>
      </c>
      <c r="B8">
        <v>7</v>
      </c>
    </row>
    <row r="9" spans="1:2">
      <c r="A9" t="s">
        <v>135</v>
      </c>
      <c r="B9">
        <v>6</v>
      </c>
    </row>
    <row r="10" spans="1:2">
      <c r="A10" t="s">
        <v>62</v>
      </c>
      <c r="B10">
        <v>5</v>
      </c>
    </row>
    <row r="11" spans="1:2">
      <c r="A11" t="s">
        <v>39</v>
      </c>
      <c r="B11">
        <v>5</v>
      </c>
    </row>
    <row r="12" spans="1:2">
      <c r="A12" t="s">
        <v>35</v>
      </c>
      <c r="B12">
        <v>4</v>
      </c>
    </row>
    <row r="13" spans="1:2">
      <c r="A13" t="s">
        <v>222</v>
      </c>
      <c r="B13">
        <v>4</v>
      </c>
    </row>
    <row r="14" spans="1:2">
      <c r="A14" t="s">
        <v>170</v>
      </c>
      <c r="B14">
        <v>4</v>
      </c>
    </row>
    <row r="15" spans="1:2">
      <c r="A15" t="s">
        <v>30</v>
      </c>
      <c r="B15">
        <v>3</v>
      </c>
    </row>
    <row r="16" spans="1:2">
      <c r="A16" t="s">
        <v>153</v>
      </c>
      <c r="B16">
        <v>3</v>
      </c>
    </row>
    <row r="17" spans="1:2">
      <c r="A17" t="s">
        <v>17</v>
      </c>
      <c r="B17">
        <v>3</v>
      </c>
    </row>
    <row r="18" spans="1:2">
      <c r="A18" t="s">
        <v>102</v>
      </c>
      <c r="B18">
        <v>2</v>
      </c>
    </row>
    <row r="19" spans="1:2">
      <c r="A19" t="s">
        <v>86</v>
      </c>
      <c r="B19">
        <v>1</v>
      </c>
    </row>
    <row r="20" spans="1:2">
      <c r="A20" t="s">
        <v>76</v>
      </c>
      <c r="B20">
        <v>1</v>
      </c>
    </row>
    <row r="21" spans="1:2">
      <c r="A21" t="s">
        <v>254</v>
      </c>
      <c r="B21">
        <v>1</v>
      </c>
    </row>
    <row r="22" spans="1:2">
      <c r="A22" t="s">
        <v>240</v>
      </c>
      <c r="B22">
        <v>1</v>
      </c>
    </row>
    <row r="23" spans="1:2">
      <c r="A23" t="s">
        <v>235</v>
      </c>
      <c r="B23">
        <v>1</v>
      </c>
    </row>
    <row r="24" spans="1:2">
      <c r="A24" t="s">
        <v>233</v>
      </c>
      <c r="B24">
        <v>1</v>
      </c>
    </row>
    <row r="25" spans="1:2">
      <c r="A25" t="s">
        <v>218</v>
      </c>
      <c r="B25">
        <v>1</v>
      </c>
    </row>
    <row r="26" spans="1:2">
      <c r="A26" t="s">
        <v>192</v>
      </c>
      <c r="B26">
        <v>1</v>
      </c>
    </row>
    <row r="27" spans="1:2">
      <c r="A27" t="s">
        <v>188</v>
      </c>
      <c r="B27">
        <v>1</v>
      </c>
    </row>
    <row r="28" spans="1:2">
      <c r="A28" t="s">
        <v>285</v>
      </c>
      <c r="B28">
        <v>1</v>
      </c>
    </row>
    <row r="29" spans="1:2">
      <c r="A29" t="s">
        <v>333</v>
      </c>
      <c r="B29">
        <v>1</v>
      </c>
    </row>
    <row r="30" spans="1:2">
      <c r="A30" t="s">
        <v>313</v>
      </c>
      <c r="B30">
        <v>1</v>
      </c>
    </row>
    <row r="31" spans="1:2">
      <c r="A31" t="s">
        <v>18</v>
      </c>
      <c r="B31">
        <v>129</v>
      </c>
    </row>
    <row r="36" spans="1:5">
      <c r="A36" t="s">
        <v>0</v>
      </c>
      <c r="B36" t="s">
        <v>25</v>
      </c>
      <c r="C36" t="s">
        <v>1</v>
      </c>
    </row>
    <row r="37" spans="1:5">
      <c r="A37" t="s">
        <v>2</v>
      </c>
      <c r="C37">
        <v>17</v>
      </c>
    </row>
    <row r="38" spans="1:5">
      <c r="B38" t="s">
        <v>91</v>
      </c>
      <c r="C38">
        <v>17</v>
      </c>
    </row>
    <row r="39" spans="1:5">
      <c r="A39" t="s">
        <v>3</v>
      </c>
      <c r="C39">
        <v>7</v>
      </c>
      <c r="D39" t="s">
        <v>2</v>
      </c>
      <c r="E39">
        <v>32</v>
      </c>
    </row>
    <row r="40" spans="1:5">
      <c r="B40" t="s">
        <v>91</v>
      </c>
      <c r="C40">
        <v>7</v>
      </c>
      <c r="D40" t="s">
        <v>3</v>
      </c>
      <c r="E40">
        <v>15</v>
      </c>
    </row>
    <row r="41" spans="1:5">
      <c r="A41" t="s">
        <v>5</v>
      </c>
      <c r="C41">
        <v>3</v>
      </c>
      <c r="D41" t="s">
        <v>5</v>
      </c>
      <c r="E41">
        <v>11</v>
      </c>
    </row>
    <row r="42" spans="1:5">
      <c r="B42" t="s">
        <v>91</v>
      </c>
      <c r="C42">
        <v>3</v>
      </c>
      <c r="D42" t="s">
        <v>4</v>
      </c>
      <c r="E42">
        <v>10</v>
      </c>
    </row>
    <row r="43" spans="1:5">
      <c r="A43" t="s">
        <v>4</v>
      </c>
      <c r="C43">
        <v>3</v>
      </c>
      <c r="D43" t="s">
        <v>14</v>
      </c>
      <c r="E43">
        <v>5</v>
      </c>
    </row>
    <row r="44" spans="1:5">
      <c r="B44" t="s">
        <v>91</v>
      </c>
      <c r="C44">
        <v>3</v>
      </c>
      <c r="D44" t="s">
        <v>7</v>
      </c>
      <c r="E44">
        <v>4</v>
      </c>
    </row>
    <row r="45" spans="1:5">
      <c r="A45" t="s">
        <v>8</v>
      </c>
      <c r="C45">
        <v>1</v>
      </c>
      <c r="D45" t="s">
        <v>11</v>
      </c>
      <c r="E45">
        <v>4</v>
      </c>
    </row>
    <row r="46" spans="1:5">
      <c r="B46" t="s">
        <v>91</v>
      </c>
      <c r="C46">
        <v>1</v>
      </c>
      <c r="D46" t="s">
        <v>8</v>
      </c>
      <c r="E46">
        <v>1</v>
      </c>
    </row>
    <row r="47" spans="1:5">
      <c r="A47" t="s">
        <v>7</v>
      </c>
      <c r="C47">
        <v>1</v>
      </c>
    </row>
    <row r="48" spans="1:5">
      <c r="B48" t="s">
        <v>91</v>
      </c>
      <c r="C48">
        <v>1</v>
      </c>
    </row>
    <row r="49" spans="1:3">
      <c r="A49" t="s">
        <v>18</v>
      </c>
      <c r="C49">
        <v>32</v>
      </c>
    </row>
  </sheetData>
  <sortState xmlns:xlrd2="http://schemas.microsoft.com/office/spreadsheetml/2017/richdata2" ref="A16:B23">
    <sortCondition descending="1" ref="A16"/>
  </sortState>
  <phoneticPr fontId="19" type="noConversion"/>
  <pageMargins left="0.75" right="0.75" top="1" bottom="1" header="0.5" footer="0.5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A10" sqref="A10"/>
    </sheetView>
  </sheetViews>
  <sheetFormatPr defaultColWidth="9.21875" defaultRowHeight="14.4"/>
  <cols>
    <col min="1" max="1" width="15.109375"/>
    <col min="2" max="2" width="19.5546875" customWidth="1"/>
  </cols>
  <sheetData>
    <row r="1" spans="1:2" ht="16.2">
      <c r="A1" s="35" t="s">
        <v>25</v>
      </c>
      <c r="B1" s="35" t="s">
        <v>340</v>
      </c>
    </row>
    <row r="2" spans="1:2" ht="15.6">
      <c r="A2" s="36" t="s">
        <v>91</v>
      </c>
      <c r="B2" s="36">
        <v>25</v>
      </c>
    </row>
    <row r="3" spans="1:2" ht="15.6">
      <c r="A3" s="36" t="s">
        <v>43</v>
      </c>
      <c r="B3" s="36">
        <v>7</v>
      </c>
    </row>
    <row r="4" spans="1:2" ht="15.6">
      <c r="A4" s="36" t="s">
        <v>135</v>
      </c>
      <c r="B4" s="36">
        <v>6</v>
      </c>
    </row>
    <row r="5" spans="1:2" ht="15.6">
      <c r="A5" s="36" t="s">
        <v>164</v>
      </c>
      <c r="B5" s="36">
        <v>4</v>
      </c>
    </row>
    <row r="6" spans="1:2" ht="15.6">
      <c r="A6" s="36" t="s">
        <v>17</v>
      </c>
      <c r="B6" s="36">
        <v>4</v>
      </c>
    </row>
    <row r="7" spans="1:2" ht="15.6">
      <c r="A7" s="36" t="s">
        <v>9</v>
      </c>
      <c r="B7" s="36">
        <v>3</v>
      </c>
    </row>
    <row r="8" spans="1:2" ht="15.6">
      <c r="A8" s="36" t="s">
        <v>222</v>
      </c>
      <c r="B8" s="36">
        <v>3</v>
      </c>
    </row>
    <row r="9" spans="1:2" ht="15.6">
      <c r="A9" s="36" t="s">
        <v>170</v>
      </c>
      <c r="B9" s="36">
        <v>2</v>
      </c>
    </row>
    <row r="10" spans="1:2" ht="15.6">
      <c r="A10" s="36" t="s">
        <v>153</v>
      </c>
      <c r="B10" s="36">
        <v>2</v>
      </c>
    </row>
    <row r="11" spans="1:2" ht="15.6">
      <c r="A11" s="36" t="s">
        <v>39</v>
      </c>
      <c r="B11" s="36">
        <v>2</v>
      </c>
    </row>
    <row r="12" spans="1:2" ht="15.6">
      <c r="A12" s="36" t="s">
        <v>254</v>
      </c>
      <c r="B12" s="36">
        <v>1</v>
      </c>
    </row>
    <row r="13" spans="1:2" ht="15.6">
      <c r="A13" s="36" t="s">
        <v>285</v>
      </c>
      <c r="B13" s="36">
        <v>1</v>
      </c>
    </row>
    <row r="14" spans="1:2" ht="15.6">
      <c r="A14" s="36" t="s">
        <v>192</v>
      </c>
      <c r="B14" s="36">
        <v>1</v>
      </c>
    </row>
    <row r="15" spans="1:2" ht="15.6">
      <c r="A15" s="36" t="s">
        <v>6</v>
      </c>
      <c r="B15" s="36">
        <v>1</v>
      </c>
    </row>
    <row r="16" spans="1:2" ht="15.6">
      <c r="A16" s="36" t="s">
        <v>62</v>
      </c>
      <c r="B16" s="36">
        <v>1</v>
      </c>
    </row>
    <row r="17" spans="1:2" ht="15.6">
      <c r="A17" s="36" t="s">
        <v>235</v>
      </c>
      <c r="B17" s="36">
        <v>1</v>
      </c>
    </row>
    <row r="18" spans="1:2" ht="15.6">
      <c r="A18" s="36" t="s">
        <v>233</v>
      </c>
      <c r="B18" s="36">
        <v>1</v>
      </c>
    </row>
    <row r="19" spans="1:2" ht="15.6">
      <c r="A19" s="36" t="s">
        <v>35</v>
      </c>
      <c r="B19" s="36">
        <v>1</v>
      </c>
    </row>
    <row r="20" spans="1:2" ht="15.6">
      <c r="A20" s="36" t="s">
        <v>240</v>
      </c>
      <c r="B20" s="36">
        <v>1</v>
      </c>
    </row>
    <row r="21" spans="1:2" ht="15.6">
      <c r="A21" s="36" t="s">
        <v>313</v>
      </c>
      <c r="B21" s="36">
        <v>1</v>
      </c>
    </row>
    <row r="22" spans="1:2" ht="15.6">
      <c r="A22" s="36" t="s">
        <v>218</v>
      </c>
      <c r="B22" s="36">
        <v>1</v>
      </c>
    </row>
    <row r="23" spans="1:2" ht="15.6">
      <c r="A23" s="36" t="s">
        <v>188</v>
      </c>
      <c r="B23" s="36">
        <v>1</v>
      </c>
    </row>
    <row r="24" spans="1:2" ht="16.2">
      <c r="A24" s="37" t="s">
        <v>18</v>
      </c>
      <c r="B24" s="37">
        <f>SUM(B2:B23)</f>
        <v>70</v>
      </c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"/>
  <sheetViews>
    <sheetView workbookViewId="0">
      <selection activeCell="E12" sqref="E12"/>
    </sheetView>
  </sheetViews>
  <sheetFormatPr defaultColWidth="9.21875" defaultRowHeight="14.4"/>
  <cols>
    <col min="2" max="2" width="41.44140625" customWidth="1"/>
    <col min="4" max="4" width="17.88671875" customWidth="1"/>
    <col min="5" max="5" width="32.88671875" customWidth="1"/>
    <col min="9" max="9" width="24.6640625" customWidth="1"/>
  </cols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0</v>
      </c>
      <c r="G1" s="1" t="s">
        <v>24</v>
      </c>
      <c r="H1" s="1" t="s">
        <v>25</v>
      </c>
      <c r="I1" s="1" t="s">
        <v>26</v>
      </c>
    </row>
    <row r="2" spans="1:9">
      <c r="A2" s="9">
        <f>ROW()-1</f>
        <v>1</v>
      </c>
      <c r="B2" s="15" t="s">
        <v>175</v>
      </c>
      <c r="C2" s="2" t="s">
        <v>176</v>
      </c>
      <c r="D2" s="2">
        <v>13905189818</v>
      </c>
      <c r="E2" s="2" t="s">
        <v>177</v>
      </c>
      <c r="F2" s="2" t="s">
        <v>8</v>
      </c>
      <c r="G2" s="2" t="s">
        <v>31</v>
      </c>
      <c r="H2" s="2" t="s">
        <v>91</v>
      </c>
      <c r="I2" s="20">
        <v>44925</v>
      </c>
    </row>
    <row r="3" spans="1:9">
      <c r="A3" s="9">
        <f t="shared" ref="A3:A12" si="0">ROW()-1</f>
        <v>2</v>
      </c>
      <c r="B3" s="15" t="s">
        <v>178</v>
      </c>
      <c r="C3" s="24" t="s">
        <v>179</v>
      </c>
      <c r="D3" s="2">
        <v>13952059900</v>
      </c>
      <c r="E3" s="2" t="s">
        <v>180</v>
      </c>
      <c r="F3" s="15" t="s">
        <v>3</v>
      </c>
      <c r="G3" s="15" t="s">
        <v>70</v>
      </c>
      <c r="H3" s="2" t="s">
        <v>164</v>
      </c>
      <c r="I3" s="20">
        <v>44895</v>
      </c>
    </row>
    <row r="4" spans="1:9">
      <c r="A4" s="9">
        <f t="shared" si="0"/>
        <v>3</v>
      </c>
      <c r="B4" s="15" t="s">
        <v>181</v>
      </c>
      <c r="C4" s="15" t="s">
        <v>168</v>
      </c>
      <c r="D4" s="2">
        <v>13851603292</v>
      </c>
      <c r="E4" s="2" t="s">
        <v>169</v>
      </c>
      <c r="F4" s="15" t="s">
        <v>2</v>
      </c>
      <c r="G4" s="15" t="s">
        <v>70</v>
      </c>
      <c r="H4" s="2" t="s">
        <v>170</v>
      </c>
      <c r="I4" s="20">
        <v>44895</v>
      </c>
    </row>
    <row r="5" spans="1:9">
      <c r="A5" s="9">
        <f t="shared" si="0"/>
        <v>4</v>
      </c>
      <c r="B5" s="15" t="s">
        <v>182</v>
      </c>
      <c r="C5" s="15" t="s">
        <v>183</v>
      </c>
      <c r="D5" s="2">
        <v>13901581649</v>
      </c>
      <c r="E5" s="2" t="s">
        <v>184</v>
      </c>
      <c r="F5" s="15" t="s">
        <v>11</v>
      </c>
      <c r="G5" s="15" t="s">
        <v>70</v>
      </c>
      <c r="H5" s="2" t="s">
        <v>135</v>
      </c>
      <c r="I5" s="20">
        <v>44895</v>
      </c>
    </row>
    <row r="6" spans="1:9">
      <c r="A6" s="9">
        <f t="shared" si="0"/>
        <v>5</v>
      </c>
      <c r="B6" s="15" t="s">
        <v>185</v>
      </c>
      <c r="C6" s="15" t="s">
        <v>186</v>
      </c>
      <c r="D6" s="2">
        <v>13905180226</v>
      </c>
      <c r="E6" s="2" t="s">
        <v>187</v>
      </c>
      <c r="F6" s="15" t="s">
        <v>11</v>
      </c>
      <c r="G6" s="15" t="s">
        <v>70</v>
      </c>
      <c r="H6" s="2" t="s">
        <v>188</v>
      </c>
      <c r="I6" s="20">
        <v>44895</v>
      </c>
    </row>
    <row r="7" spans="1:9">
      <c r="A7" s="9">
        <f t="shared" si="0"/>
        <v>6</v>
      </c>
      <c r="B7" s="15" t="s">
        <v>341</v>
      </c>
      <c r="C7" s="15" t="s">
        <v>342</v>
      </c>
      <c r="D7" s="2">
        <v>13905180619</v>
      </c>
      <c r="E7" s="2" t="s">
        <v>343</v>
      </c>
      <c r="F7" s="15" t="s">
        <v>11</v>
      </c>
      <c r="G7" s="15" t="s">
        <v>70</v>
      </c>
      <c r="H7" s="2" t="s">
        <v>135</v>
      </c>
      <c r="I7" s="20">
        <v>44895</v>
      </c>
    </row>
    <row r="8" spans="1:9">
      <c r="A8" s="9">
        <f t="shared" si="0"/>
        <v>7</v>
      </c>
      <c r="B8" s="15" t="s">
        <v>189</v>
      </c>
      <c r="C8" s="15" t="s">
        <v>190</v>
      </c>
      <c r="D8" s="2">
        <v>13905183757</v>
      </c>
      <c r="E8" s="2" t="s">
        <v>191</v>
      </c>
      <c r="F8" s="15" t="s">
        <v>2</v>
      </c>
      <c r="G8" s="15" t="s">
        <v>70</v>
      </c>
      <c r="H8" s="2" t="s">
        <v>192</v>
      </c>
      <c r="I8" s="20">
        <v>44895</v>
      </c>
    </row>
    <row r="9" spans="1:9">
      <c r="A9" s="9">
        <f t="shared" si="0"/>
        <v>8</v>
      </c>
      <c r="B9" s="15" t="s">
        <v>193</v>
      </c>
      <c r="C9" s="15" t="s">
        <v>194</v>
      </c>
      <c r="D9" s="2">
        <v>13905180367</v>
      </c>
      <c r="E9" s="2" t="s">
        <v>173</v>
      </c>
      <c r="F9" s="15" t="s">
        <v>2</v>
      </c>
      <c r="G9" s="15" t="s">
        <v>70</v>
      </c>
      <c r="H9" s="2" t="s">
        <v>91</v>
      </c>
      <c r="I9" s="20">
        <v>44895</v>
      </c>
    </row>
    <row r="10" spans="1:9">
      <c r="A10" s="9">
        <f t="shared" si="0"/>
        <v>9</v>
      </c>
      <c r="B10" s="15" t="s">
        <v>195</v>
      </c>
      <c r="C10" s="15" t="s">
        <v>151</v>
      </c>
      <c r="D10" s="2">
        <v>13645169866</v>
      </c>
      <c r="E10" s="2" t="s">
        <v>152</v>
      </c>
      <c r="F10" s="15" t="s">
        <v>2</v>
      </c>
      <c r="G10" s="15" t="s">
        <v>70</v>
      </c>
      <c r="H10" s="2" t="s">
        <v>153</v>
      </c>
      <c r="I10" s="20">
        <v>44895</v>
      </c>
    </row>
    <row r="11" spans="1:9">
      <c r="A11" s="9">
        <f t="shared" si="0"/>
        <v>10</v>
      </c>
      <c r="B11" s="15" t="s">
        <v>196</v>
      </c>
      <c r="C11" s="15" t="s">
        <v>100</v>
      </c>
      <c r="D11" s="2">
        <v>13905182138</v>
      </c>
      <c r="E11" s="2" t="s">
        <v>101</v>
      </c>
      <c r="F11" s="15" t="s">
        <v>2</v>
      </c>
      <c r="G11" s="15" t="s">
        <v>56</v>
      </c>
      <c r="H11" s="2" t="s">
        <v>91</v>
      </c>
      <c r="I11" s="20">
        <v>44895</v>
      </c>
    </row>
    <row r="12" spans="1:9">
      <c r="A12" s="9">
        <f t="shared" si="0"/>
        <v>11</v>
      </c>
      <c r="B12" s="15" t="s">
        <v>197</v>
      </c>
      <c r="C12" s="15" t="s">
        <v>100</v>
      </c>
      <c r="D12" s="2">
        <v>13905182138</v>
      </c>
      <c r="E12" s="2" t="s">
        <v>101</v>
      </c>
      <c r="F12" s="15" t="s">
        <v>2</v>
      </c>
      <c r="G12" s="15" t="s">
        <v>56</v>
      </c>
      <c r="H12" s="2" t="s">
        <v>91</v>
      </c>
      <c r="I12" s="20">
        <v>44895</v>
      </c>
    </row>
    <row r="13" spans="1:9">
      <c r="A13" s="9">
        <f t="shared" ref="A13:A22" si="1">ROW()-1</f>
        <v>12</v>
      </c>
      <c r="B13" s="15" t="s">
        <v>198</v>
      </c>
      <c r="C13" s="15" t="s">
        <v>100</v>
      </c>
      <c r="D13" s="2">
        <v>13905182138</v>
      </c>
      <c r="E13" s="2" t="s">
        <v>101</v>
      </c>
      <c r="F13" s="15" t="s">
        <v>2</v>
      </c>
      <c r="G13" s="15" t="s">
        <v>56</v>
      </c>
      <c r="H13" s="2" t="s">
        <v>91</v>
      </c>
      <c r="I13" s="20">
        <v>44895</v>
      </c>
    </row>
    <row r="14" spans="1:9">
      <c r="A14" s="9">
        <f t="shared" si="1"/>
        <v>13</v>
      </c>
      <c r="B14" s="15" t="s">
        <v>199</v>
      </c>
      <c r="C14" s="15" t="s">
        <v>100</v>
      </c>
      <c r="D14" s="2">
        <v>13905182138</v>
      </c>
      <c r="E14" s="2" t="s">
        <v>101</v>
      </c>
      <c r="F14" s="15" t="s">
        <v>2</v>
      </c>
      <c r="G14" s="15" t="s">
        <v>56</v>
      </c>
      <c r="H14" s="2" t="s">
        <v>91</v>
      </c>
      <c r="I14" s="20">
        <v>44895</v>
      </c>
    </row>
    <row r="15" spans="1:9">
      <c r="A15" s="9">
        <f t="shared" si="1"/>
        <v>14</v>
      </c>
      <c r="B15" s="15" t="s">
        <v>200</v>
      </c>
      <c r="C15" s="15" t="s">
        <v>186</v>
      </c>
      <c r="D15" s="2">
        <v>13905180226</v>
      </c>
      <c r="E15" s="2" t="s">
        <v>187</v>
      </c>
      <c r="F15" s="15" t="s">
        <v>11</v>
      </c>
      <c r="G15" s="15" t="s">
        <v>31</v>
      </c>
      <c r="H15" s="2" t="s">
        <v>135</v>
      </c>
      <c r="I15" s="20">
        <v>44895</v>
      </c>
    </row>
    <row r="16" spans="1:9">
      <c r="A16" s="9">
        <f t="shared" si="1"/>
        <v>15</v>
      </c>
      <c r="B16" s="12" t="s">
        <v>344</v>
      </c>
      <c r="C16" s="12" t="s">
        <v>345</v>
      </c>
      <c r="D16" s="2">
        <v>13905181702</v>
      </c>
      <c r="E16" s="8" t="s">
        <v>346</v>
      </c>
      <c r="F16" s="12" t="s">
        <v>17</v>
      </c>
      <c r="G16" s="2" t="s">
        <v>31</v>
      </c>
      <c r="H16" s="2" t="s">
        <v>17</v>
      </c>
      <c r="I16" s="20">
        <v>44888</v>
      </c>
    </row>
    <row r="17" spans="1:9">
      <c r="A17" s="9">
        <f t="shared" si="1"/>
        <v>16</v>
      </c>
      <c r="B17" s="12" t="s">
        <v>207</v>
      </c>
      <c r="C17" s="12" t="s">
        <v>208</v>
      </c>
      <c r="D17" s="2">
        <v>13905182215</v>
      </c>
      <c r="E17" s="8" t="s">
        <v>209</v>
      </c>
      <c r="F17" s="12" t="s">
        <v>17</v>
      </c>
      <c r="G17" s="2" t="s">
        <v>31</v>
      </c>
      <c r="H17" s="2" t="s">
        <v>17</v>
      </c>
      <c r="I17" s="20">
        <v>44888</v>
      </c>
    </row>
    <row r="18" spans="1:9">
      <c r="A18" s="9">
        <f t="shared" si="1"/>
        <v>17</v>
      </c>
      <c r="B18" s="12" t="s">
        <v>214</v>
      </c>
      <c r="C18" s="12" t="s">
        <v>147</v>
      </c>
      <c r="D18" s="2">
        <v>13905182359</v>
      </c>
      <c r="E18" s="8" t="s">
        <v>148</v>
      </c>
      <c r="F18" s="12" t="s">
        <v>13</v>
      </c>
      <c r="G18" s="2" t="s">
        <v>31</v>
      </c>
      <c r="H18" s="2" t="s">
        <v>9</v>
      </c>
      <c r="I18" s="20">
        <v>44888</v>
      </c>
    </row>
    <row r="19" spans="1:9">
      <c r="A19" s="9">
        <f t="shared" si="1"/>
        <v>18</v>
      </c>
      <c r="B19" s="12" t="s">
        <v>201</v>
      </c>
      <c r="C19" s="12" t="s">
        <v>202</v>
      </c>
      <c r="D19" s="2">
        <v>15050559606</v>
      </c>
      <c r="E19" s="8" t="s">
        <v>203</v>
      </c>
      <c r="F19" s="12" t="s">
        <v>6</v>
      </c>
      <c r="G19" s="2" t="s">
        <v>70</v>
      </c>
      <c r="H19" s="2" t="s">
        <v>6</v>
      </c>
      <c r="I19" s="20">
        <v>44888</v>
      </c>
    </row>
    <row r="20" spans="1:9">
      <c r="A20" s="9">
        <f t="shared" si="1"/>
        <v>19</v>
      </c>
      <c r="B20" s="12" t="s">
        <v>211</v>
      </c>
      <c r="C20" s="12" t="s">
        <v>151</v>
      </c>
      <c r="D20" s="2">
        <v>13645169866</v>
      </c>
      <c r="E20" s="8" t="s">
        <v>152</v>
      </c>
      <c r="F20" s="2" t="s">
        <v>2</v>
      </c>
      <c r="G20" s="2" t="s">
        <v>70</v>
      </c>
      <c r="H20" s="2" t="s">
        <v>153</v>
      </c>
      <c r="I20" s="20">
        <v>44888</v>
      </c>
    </row>
    <row r="21" spans="1:9">
      <c r="A21" s="9">
        <f t="shared" si="1"/>
        <v>20</v>
      </c>
      <c r="B21" s="12" t="s">
        <v>212</v>
      </c>
      <c r="C21" s="12" t="s">
        <v>59</v>
      </c>
      <c r="D21" s="12">
        <v>13905181903</v>
      </c>
      <c r="E21" s="8" t="s">
        <v>60</v>
      </c>
      <c r="F21" s="12" t="s">
        <v>2</v>
      </c>
      <c r="G21" s="12" t="s">
        <v>56</v>
      </c>
      <c r="H21" s="12" t="s">
        <v>91</v>
      </c>
      <c r="I21" s="32">
        <v>44881</v>
      </c>
    </row>
    <row r="22" spans="1:9">
      <c r="A22" s="9">
        <f t="shared" si="1"/>
        <v>21</v>
      </c>
      <c r="B22" s="12" t="s">
        <v>213</v>
      </c>
      <c r="C22" s="12" t="s">
        <v>59</v>
      </c>
      <c r="D22" s="12">
        <v>13905181903</v>
      </c>
      <c r="E22" s="8" t="s">
        <v>60</v>
      </c>
      <c r="F22" s="12" t="s">
        <v>2</v>
      </c>
      <c r="G22" s="12" t="s">
        <v>56</v>
      </c>
      <c r="H22" s="12" t="s">
        <v>91</v>
      </c>
      <c r="I22" s="32">
        <v>44881</v>
      </c>
    </row>
    <row r="23" spans="1:9">
      <c r="A23" s="9">
        <f t="shared" ref="A23:A32" si="2">ROW()-1</f>
        <v>22</v>
      </c>
      <c r="B23" s="12" t="s">
        <v>347</v>
      </c>
      <c r="C23" s="12" t="s">
        <v>230</v>
      </c>
      <c r="D23" s="8">
        <v>15951828622</v>
      </c>
      <c r="E23" s="8" t="s">
        <v>231</v>
      </c>
      <c r="F23" s="2" t="s">
        <v>14</v>
      </c>
      <c r="G23" s="9" t="s">
        <v>31</v>
      </c>
      <c r="H23" s="2" t="s">
        <v>9</v>
      </c>
      <c r="I23" s="20">
        <v>44865</v>
      </c>
    </row>
    <row r="24" spans="1:9">
      <c r="A24" s="9">
        <f t="shared" si="2"/>
        <v>23</v>
      </c>
      <c r="B24" s="12" t="s">
        <v>215</v>
      </c>
      <c r="C24" s="12" t="s">
        <v>216</v>
      </c>
      <c r="D24" s="8">
        <v>13815889925</v>
      </c>
      <c r="E24" s="8" t="s">
        <v>217</v>
      </c>
      <c r="F24" s="2" t="s">
        <v>7</v>
      </c>
      <c r="G24" s="2" t="s">
        <v>31</v>
      </c>
      <c r="H24" s="2" t="s">
        <v>218</v>
      </c>
      <c r="I24" s="32">
        <v>44865</v>
      </c>
    </row>
    <row r="25" spans="1:9">
      <c r="A25" s="9">
        <f t="shared" si="2"/>
        <v>24</v>
      </c>
      <c r="B25" s="12" t="s">
        <v>219</v>
      </c>
      <c r="C25" s="12" t="s">
        <v>220</v>
      </c>
      <c r="D25" s="8">
        <v>13770770201</v>
      </c>
      <c r="E25" s="8" t="s">
        <v>221</v>
      </c>
      <c r="F25" s="2" t="s">
        <v>2</v>
      </c>
      <c r="G25" s="2" t="s">
        <v>70</v>
      </c>
      <c r="H25" s="2" t="s">
        <v>222</v>
      </c>
      <c r="I25" s="20">
        <v>44865</v>
      </c>
    </row>
    <row r="26" spans="1:9">
      <c r="A26" s="9">
        <f t="shared" si="2"/>
        <v>25</v>
      </c>
      <c r="B26" s="12" t="s">
        <v>223</v>
      </c>
      <c r="C26" s="12" t="s">
        <v>220</v>
      </c>
      <c r="D26" s="8">
        <v>13770770201</v>
      </c>
      <c r="E26" s="8" t="s">
        <v>221</v>
      </c>
      <c r="F26" s="2" t="s">
        <v>2</v>
      </c>
      <c r="G26" s="2" t="s">
        <v>70</v>
      </c>
      <c r="H26" s="2" t="s">
        <v>222</v>
      </c>
      <c r="I26" s="32">
        <v>44865</v>
      </c>
    </row>
    <row r="27" spans="1:9">
      <c r="A27" s="9">
        <f t="shared" si="2"/>
        <v>26</v>
      </c>
      <c r="B27" s="12" t="s">
        <v>224</v>
      </c>
      <c r="C27" s="12" t="s">
        <v>111</v>
      </c>
      <c r="D27" s="8">
        <v>13912980692</v>
      </c>
      <c r="E27" s="8" t="s">
        <v>112</v>
      </c>
      <c r="F27" s="2" t="s">
        <v>3</v>
      </c>
      <c r="G27" s="2" t="s">
        <v>70</v>
      </c>
      <c r="H27" s="2" t="s">
        <v>43</v>
      </c>
      <c r="I27" s="20">
        <v>44865</v>
      </c>
    </row>
    <row r="28" spans="1:9">
      <c r="A28" s="9">
        <f t="shared" si="2"/>
        <v>27</v>
      </c>
      <c r="B28" s="12" t="s">
        <v>157</v>
      </c>
      <c r="C28" s="12" t="s">
        <v>158</v>
      </c>
      <c r="D28" s="8">
        <v>15850663933</v>
      </c>
      <c r="E28" s="8" t="s">
        <v>159</v>
      </c>
      <c r="F28" s="2" t="s">
        <v>6</v>
      </c>
      <c r="G28" s="2" t="s">
        <v>56</v>
      </c>
      <c r="H28" s="2" t="s">
        <v>9</v>
      </c>
      <c r="I28" s="32">
        <v>44865</v>
      </c>
    </row>
    <row r="29" spans="1:9">
      <c r="A29" s="9">
        <f t="shared" si="2"/>
        <v>28</v>
      </c>
      <c r="B29" s="12" t="s">
        <v>225</v>
      </c>
      <c r="C29" s="12" t="s">
        <v>144</v>
      </c>
      <c r="D29" s="9">
        <v>13905182436</v>
      </c>
      <c r="E29" s="8" t="s">
        <v>145</v>
      </c>
      <c r="F29" s="10" t="s">
        <v>3</v>
      </c>
      <c r="G29" s="9" t="s">
        <v>70</v>
      </c>
      <c r="H29" s="9" t="s">
        <v>91</v>
      </c>
      <c r="I29" s="32">
        <v>44862</v>
      </c>
    </row>
    <row r="30" spans="1:9">
      <c r="A30" s="9">
        <f t="shared" si="2"/>
        <v>29</v>
      </c>
      <c r="B30" s="12" t="s">
        <v>226</v>
      </c>
      <c r="C30" s="10" t="s">
        <v>227</v>
      </c>
      <c r="D30" s="9">
        <v>13905186725</v>
      </c>
      <c r="E30" s="8" t="s">
        <v>228</v>
      </c>
      <c r="F30" s="10" t="s">
        <v>3</v>
      </c>
      <c r="G30" s="9" t="s">
        <v>70</v>
      </c>
      <c r="H30" s="9" t="s">
        <v>91</v>
      </c>
      <c r="I30" s="32">
        <v>44862</v>
      </c>
    </row>
    <row r="31" spans="1:9">
      <c r="A31" s="9">
        <f t="shared" si="2"/>
        <v>30</v>
      </c>
      <c r="B31" s="12" t="s">
        <v>229</v>
      </c>
      <c r="C31" s="10" t="s">
        <v>230</v>
      </c>
      <c r="D31" s="8">
        <v>15951828622</v>
      </c>
      <c r="E31" s="8" t="s">
        <v>231</v>
      </c>
      <c r="F31" s="10" t="s">
        <v>14</v>
      </c>
      <c r="G31" s="9" t="s">
        <v>31</v>
      </c>
      <c r="H31" s="9" t="s">
        <v>233</v>
      </c>
      <c r="I31" s="32">
        <v>44862</v>
      </c>
    </row>
    <row r="32" spans="1:9">
      <c r="A32" s="9">
        <f t="shared" si="2"/>
        <v>31</v>
      </c>
      <c r="B32" s="25" t="s">
        <v>234</v>
      </c>
      <c r="C32" s="9" t="s">
        <v>84</v>
      </c>
      <c r="D32" s="9">
        <v>13905189624</v>
      </c>
      <c r="E32" s="8" t="s">
        <v>85</v>
      </c>
      <c r="F32" s="9" t="s">
        <v>7</v>
      </c>
      <c r="G32" s="9" t="s">
        <v>31</v>
      </c>
      <c r="H32" s="9" t="s">
        <v>235</v>
      </c>
      <c r="I32" s="32">
        <v>44831</v>
      </c>
    </row>
    <row r="33" spans="1:9">
      <c r="A33" s="9">
        <f t="shared" ref="A33:A42" si="3">ROW()-1</f>
        <v>32</v>
      </c>
      <c r="B33" s="17" t="s">
        <v>236</v>
      </c>
      <c r="C33" s="26" t="s">
        <v>117</v>
      </c>
      <c r="D33" s="19">
        <v>13905181072</v>
      </c>
      <c r="E33" s="8" t="s">
        <v>118</v>
      </c>
      <c r="F33" s="18" t="s">
        <v>3</v>
      </c>
      <c r="G33" s="18" t="s">
        <v>70</v>
      </c>
      <c r="H33" s="18" t="s">
        <v>43</v>
      </c>
      <c r="I33" s="33">
        <v>44831</v>
      </c>
    </row>
    <row r="34" spans="1:9">
      <c r="A34" s="9">
        <f t="shared" si="3"/>
        <v>33</v>
      </c>
      <c r="B34" s="15" t="s">
        <v>237</v>
      </c>
      <c r="C34" s="13" t="s">
        <v>238</v>
      </c>
      <c r="D34" s="11">
        <v>13905182309</v>
      </c>
      <c r="E34" s="8" t="s">
        <v>239</v>
      </c>
      <c r="F34" s="12" t="s">
        <v>2</v>
      </c>
      <c r="G34" s="2" t="s">
        <v>70</v>
      </c>
      <c r="H34" s="2" t="s">
        <v>240</v>
      </c>
      <c r="I34" s="22">
        <v>44827</v>
      </c>
    </row>
    <row r="35" spans="1:9">
      <c r="A35" s="9">
        <f t="shared" si="3"/>
        <v>34</v>
      </c>
      <c r="B35" s="15" t="s">
        <v>241</v>
      </c>
      <c r="C35" s="13" t="s">
        <v>111</v>
      </c>
      <c r="D35" s="11">
        <v>13912980692</v>
      </c>
      <c r="E35" s="8" t="s">
        <v>112</v>
      </c>
      <c r="F35" s="12" t="s">
        <v>3</v>
      </c>
      <c r="G35" s="2" t="s">
        <v>70</v>
      </c>
      <c r="H35" s="2" t="s">
        <v>91</v>
      </c>
      <c r="I35" s="22">
        <v>44827</v>
      </c>
    </row>
    <row r="36" spans="1:9">
      <c r="A36" s="9">
        <f t="shared" si="3"/>
        <v>35</v>
      </c>
      <c r="B36" s="15" t="s">
        <v>242</v>
      </c>
      <c r="C36" s="13" t="s">
        <v>243</v>
      </c>
      <c r="D36" s="11">
        <v>13905183065</v>
      </c>
      <c r="E36" s="8" t="s">
        <v>244</v>
      </c>
      <c r="F36" s="12" t="s">
        <v>3</v>
      </c>
      <c r="G36" s="2" t="s">
        <v>70</v>
      </c>
      <c r="H36" s="2" t="s">
        <v>91</v>
      </c>
      <c r="I36" s="22">
        <v>44827</v>
      </c>
    </row>
    <row r="37" spans="1:9">
      <c r="A37" s="9">
        <f t="shared" si="3"/>
        <v>36</v>
      </c>
      <c r="B37" s="15" t="s">
        <v>245</v>
      </c>
      <c r="C37" s="13" t="s">
        <v>246</v>
      </c>
      <c r="D37" s="11">
        <v>13952059900</v>
      </c>
      <c r="E37" s="8" t="s">
        <v>180</v>
      </c>
      <c r="F37" s="12" t="s">
        <v>3</v>
      </c>
      <c r="G37" s="2" t="s">
        <v>70</v>
      </c>
      <c r="H37" s="2" t="s">
        <v>164</v>
      </c>
      <c r="I37" s="22">
        <v>44827</v>
      </c>
    </row>
    <row r="38" spans="1:9" ht="28.8">
      <c r="A38" s="9">
        <f t="shared" si="3"/>
        <v>37</v>
      </c>
      <c r="B38" s="15" t="s">
        <v>247</v>
      </c>
      <c r="C38" s="13" t="s">
        <v>114</v>
      </c>
      <c r="D38" s="11">
        <v>13905181096</v>
      </c>
      <c r="E38" s="8" t="s">
        <v>115</v>
      </c>
      <c r="F38" s="12" t="s">
        <v>3</v>
      </c>
      <c r="G38" s="2" t="s">
        <v>70</v>
      </c>
      <c r="H38" s="2" t="s">
        <v>43</v>
      </c>
      <c r="I38" s="22">
        <v>44827</v>
      </c>
    </row>
    <row r="39" spans="1:9">
      <c r="A39" s="9">
        <f t="shared" si="3"/>
        <v>38</v>
      </c>
      <c r="B39" s="15" t="s">
        <v>248</v>
      </c>
      <c r="C39" s="13" t="s">
        <v>249</v>
      </c>
      <c r="D39" s="11">
        <v>13913950534</v>
      </c>
      <c r="E39" s="8" t="s">
        <v>250</v>
      </c>
      <c r="F39" s="12" t="s">
        <v>3</v>
      </c>
      <c r="G39" s="2" t="s">
        <v>70</v>
      </c>
      <c r="H39" s="2" t="s">
        <v>164</v>
      </c>
      <c r="I39" s="22">
        <v>44826</v>
      </c>
    </row>
    <row r="40" spans="1:9">
      <c r="A40" s="9">
        <f t="shared" si="3"/>
        <v>39</v>
      </c>
      <c r="B40" s="2" t="s">
        <v>251</v>
      </c>
      <c r="C40" s="2" t="s">
        <v>252</v>
      </c>
      <c r="D40" s="11">
        <v>13905182005</v>
      </c>
      <c r="E40" s="8" t="s">
        <v>253</v>
      </c>
      <c r="F40" s="2" t="s">
        <v>6</v>
      </c>
      <c r="G40" s="2" t="s">
        <v>31</v>
      </c>
      <c r="H40" s="2" t="s">
        <v>254</v>
      </c>
      <c r="I40" s="20">
        <v>44804</v>
      </c>
    </row>
    <row r="41" spans="1:9">
      <c r="A41" s="9">
        <f t="shared" si="3"/>
        <v>40</v>
      </c>
      <c r="B41" s="2" t="s">
        <v>255</v>
      </c>
      <c r="C41" s="2" t="s">
        <v>130</v>
      </c>
      <c r="D41" s="11">
        <v>13905182932</v>
      </c>
      <c r="E41" s="8" t="s">
        <v>131</v>
      </c>
      <c r="F41" s="2" t="s">
        <v>4</v>
      </c>
      <c r="G41" s="2" t="s">
        <v>31</v>
      </c>
      <c r="H41" s="2" t="s">
        <v>91</v>
      </c>
      <c r="I41" s="20">
        <v>44804</v>
      </c>
    </row>
    <row r="42" spans="1:9">
      <c r="A42" s="9">
        <f t="shared" si="3"/>
        <v>41</v>
      </c>
      <c r="B42" s="2" t="s">
        <v>257</v>
      </c>
      <c r="C42" s="2" t="s">
        <v>258</v>
      </c>
      <c r="D42" s="11">
        <v>13770609150</v>
      </c>
      <c r="E42" s="8" t="s">
        <v>259</v>
      </c>
      <c r="F42" s="2" t="s">
        <v>14</v>
      </c>
      <c r="G42" s="2" t="s">
        <v>31</v>
      </c>
      <c r="H42" s="2" t="s">
        <v>170</v>
      </c>
      <c r="I42" s="20">
        <v>44804</v>
      </c>
    </row>
    <row r="43" spans="1:9">
      <c r="A43" s="9">
        <f t="shared" ref="A43:A52" si="4">ROW()-1</f>
        <v>42</v>
      </c>
      <c r="B43" s="2" t="s">
        <v>261</v>
      </c>
      <c r="C43" s="2" t="s">
        <v>249</v>
      </c>
      <c r="D43" s="11">
        <v>13913950534</v>
      </c>
      <c r="E43" s="8" t="s">
        <v>250</v>
      </c>
      <c r="F43" s="2" t="s">
        <v>3</v>
      </c>
      <c r="G43" s="2" t="s">
        <v>70</v>
      </c>
      <c r="H43" s="2" t="s">
        <v>164</v>
      </c>
      <c r="I43" s="20">
        <v>44804</v>
      </c>
    </row>
    <row r="44" spans="1:9">
      <c r="A44" s="9">
        <f t="shared" si="4"/>
        <v>43</v>
      </c>
      <c r="B44" s="2" t="s">
        <v>262</v>
      </c>
      <c r="C44" s="2" t="s">
        <v>263</v>
      </c>
      <c r="D44" s="11">
        <v>13905181159</v>
      </c>
      <c r="E44" s="8" t="s">
        <v>264</v>
      </c>
      <c r="F44" s="2" t="s">
        <v>3</v>
      </c>
      <c r="G44" s="2" t="s">
        <v>70</v>
      </c>
      <c r="H44" s="2" t="s">
        <v>91</v>
      </c>
      <c r="I44" s="20">
        <v>44804</v>
      </c>
    </row>
    <row r="45" spans="1:9">
      <c r="A45" s="9">
        <f t="shared" si="4"/>
        <v>44</v>
      </c>
      <c r="B45" s="2" t="s">
        <v>265</v>
      </c>
      <c r="C45" s="2" t="s">
        <v>117</v>
      </c>
      <c r="D45" s="11">
        <v>13905181072</v>
      </c>
      <c r="E45" s="8" t="s">
        <v>118</v>
      </c>
      <c r="F45" s="2" t="s">
        <v>3</v>
      </c>
      <c r="G45" s="2" t="s">
        <v>70</v>
      </c>
      <c r="H45" s="2" t="s">
        <v>43</v>
      </c>
      <c r="I45" s="20">
        <v>44804</v>
      </c>
    </row>
    <row r="46" spans="1:9">
      <c r="A46" s="9">
        <f t="shared" si="4"/>
        <v>45</v>
      </c>
      <c r="B46" s="2" t="s">
        <v>266</v>
      </c>
      <c r="C46" s="2" t="s">
        <v>267</v>
      </c>
      <c r="D46" s="11">
        <v>13905182371</v>
      </c>
      <c r="E46" s="8" t="s">
        <v>268</v>
      </c>
      <c r="F46" s="11" t="s">
        <v>5</v>
      </c>
      <c r="G46" s="2" t="s">
        <v>31</v>
      </c>
      <c r="H46" s="2" t="s">
        <v>91</v>
      </c>
      <c r="I46" s="20">
        <v>44796</v>
      </c>
    </row>
    <row r="47" spans="1:9">
      <c r="A47" s="9">
        <f t="shared" si="4"/>
        <v>46</v>
      </c>
      <c r="B47" s="27" t="s">
        <v>269</v>
      </c>
      <c r="C47" s="2" t="s">
        <v>267</v>
      </c>
      <c r="D47" s="11">
        <v>13905182371</v>
      </c>
      <c r="E47" s="8" t="s">
        <v>268</v>
      </c>
      <c r="F47" s="11" t="s">
        <v>5</v>
      </c>
      <c r="G47" s="2" t="s">
        <v>31</v>
      </c>
      <c r="H47" s="2" t="s">
        <v>91</v>
      </c>
      <c r="I47" s="20">
        <v>44765</v>
      </c>
    </row>
    <row r="48" spans="1:9">
      <c r="A48" s="9">
        <f t="shared" si="4"/>
        <v>47</v>
      </c>
      <c r="B48" s="27" t="s">
        <v>270</v>
      </c>
      <c r="C48" s="2" t="s">
        <v>258</v>
      </c>
      <c r="D48" s="11">
        <v>13770609150</v>
      </c>
      <c r="E48" s="8" t="s">
        <v>259</v>
      </c>
      <c r="F48" s="11" t="s">
        <v>14</v>
      </c>
      <c r="G48" s="2" t="s">
        <v>31</v>
      </c>
      <c r="H48" s="2" t="s">
        <v>17</v>
      </c>
      <c r="I48" s="20">
        <v>44765</v>
      </c>
    </row>
    <row r="49" spans="1:9">
      <c r="A49" s="9">
        <f t="shared" si="4"/>
        <v>48</v>
      </c>
      <c r="B49" s="27" t="s">
        <v>272</v>
      </c>
      <c r="C49" s="2" t="s">
        <v>258</v>
      </c>
      <c r="D49" s="11">
        <v>13770609150</v>
      </c>
      <c r="E49" s="8" t="s">
        <v>259</v>
      </c>
      <c r="F49" s="11" t="s">
        <v>14</v>
      </c>
      <c r="G49" s="2" t="s">
        <v>31</v>
      </c>
      <c r="H49" s="2" t="s">
        <v>17</v>
      </c>
      <c r="I49" s="20">
        <v>44765</v>
      </c>
    </row>
    <row r="50" spans="1:9">
      <c r="A50" s="9">
        <f t="shared" si="4"/>
        <v>49</v>
      </c>
      <c r="B50" s="27" t="s">
        <v>273</v>
      </c>
      <c r="C50" s="2" t="s">
        <v>274</v>
      </c>
      <c r="D50" s="11">
        <v>13905185263</v>
      </c>
      <c r="E50" s="8" t="s">
        <v>275</v>
      </c>
      <c r="F50" s="11" t="s">
        <v>4</v>
      </c>
      <c r="G50" s="2" t="s">
        <v>31</v>
      </c>
      <c r="H50" s="28" t="s">
        <v>135</v>
      </c>
      <c r="I50" s="20">
        <v>44765</v>
      </c>
    </row>
    <row r="51" spans="1:9">
      <c r="A51" s="9">
        <f t="shared" si="4"/>
        <v>50</v>
      </c>
      <c r="B51" s="27" t="s">
        <v>276</v>
      </c>
      <c r="C51" s="2" t="s">
        <v>277</v>
      </c>
      <c r="D51" s="11">
        <v>13905182390</v>
      </c>
      <c r="E51" s="8" t="s">
        <v>278</v>
      </c>
      <c r="F51" s="2" t="s">
        <v>4</v>
      </c>
      <c r="G51" s="29" t="s">
        <v>31</v>
      </c>
      <c r="H51" s="2" t="s">
        <v>91</v>
      </c>
      <c r="I51" s="20">
        <v>44765</v>
      </c>
    </row>
    <row r="52" spans="1:9">
      <c r="A52" s="9">
        <f t="shared" si="4"/>
        <v>51</v>
      </c>
      <c r="B52" s="27" t="s">
        <v>279</v>
      </c>
      <c r="C52" s="2" t="s">
        <v>130</v>
      </c>
      <c r="D52" s="11">
        <v>13905182932</v>
      </c>
      <c r="E52" s="8" t="s">
        <v>131</v>
      </c>
      <c r="F52" s="2" t="s">
        <v>4</v>
      </c>
      <c r="G52" s="29" t="s">
        <v>31</v>
      </c>
      <c r="H52" s="2" t="s">
        <v>39</v>
      </c>
      <c r="I52" s="20">
        <v>44765</v>
      </c>
    </row>
    <row r="53" spans="1:9">
      <c r="A53" s="9">
        <f t="shared" ref="A53:A62" si="5">ROW()-1</f>
        <v>52</v>
      </c>
      <c r="B53" s="27" t="s">
        <v>280</v>
      </c>
      <c r="C53" s="2" t="s">
        <v>130</v>
      </c>
      <c r="D53" s="11">
        <v>13905182932</v>
      </c>
      <c r="E53" s="8" t="s">
        <v>131</v>
      </c>
      <c r="F53" s="2" t="s">
        <v>4</v>
      </c>
      <c r="G53" s="29" t="s">
        <v>31</v>
      </c>
      <c r="H53" s="2" t="s">
        <v>35</v>
      </c>
      <c r="I53" s="20">
        <v>44765</v>
      </c>
    </row>
    <row r="54" spans="1:9">
      <c r="A54" s="9">
        <f t="shared" si="5"/>
        <v>53</v>
      </c>
      <c r="B54" s="27" t="s">
        <v>281</v>
      </c>
      <c r="C54" s="2" t="s">
        <v>348</v>
      </c>
      <c r="D54" s="11">
        <v>13905182375</v>
      </c>
      <c r="E54" s="8" t="s">
        <v>349</v>
      </c>
      <c r="F54" s="2" t="s">
        <v>15</v>
      </c>
      <c r="G54" s="29" t="s">
        <v>31</v>
      </c>
      <c r="H54" s="2" t="s">
        <v>285</v>
      </c>
      <c r="I54" s="20">
        <v>44765</v>
      </c>
    </row>
    <row r="55" spans="1:9">
      <c r="A55" s="9">
        <f t="shared" si="5"/>
        <v>54</v>
      </c>
      <c r="B55" s="27" t="s">
        <v>350</v>
      </c>
      <c r="C55" s="7" t="s">
        <v>351</v>
      </c>
      <c r="D55" s="11">
        <v>15751868916</v>
      </c>
      <c r="E55" s="8" t="s">
        <v>296</v>
      </c>
      <c r="F55" s="2" t="s">
        <v>2</v>
      </c>
      <c r="G55" s="2" t="s">
        <v>70</v>
      </c>
      <c r="H55" s="2" t="s">
        <v>91</v>
      </c>
      <c r="I55" s="20">
        <v>44742</v>
      </c>
    </row>
    <row r="56" spans="1:9">
      <c r="A56" s="9">
        <f t="shared" si="5"/>
        <v>55</v>
      </c>
      <c r="B56" s="27" t="s">
        <v>352</v>
      </c>
      <c r="C56" s="7" t="s">
        <v>351</v>
      </c>
      <c r="D56" s="11">
        <v>15751868916</v>
      </c>
      <c r="E56" s="8" t="s">
        <v>296</v>
      </c>
      <c r="F56" s="2" t="s">
        <v>2</v>
      </c>
      <c r="G56" s="2" t="s">
        <v>70</v>
      </c>
      <c r="H56" s="2" t="s">
        <v>91</v>
      </c>
      <c r="I56" s="20">
        <v>44742</v>
      </c>
    </row>
    <row r="57" spans="1:9">
      <c r="A57" s="9">
        <f t="shared" si="5"/>
        <v>56</v>
      </c>
      <c r="B57" s="27" t="s">
        <v>286</v>
      </c>
      <c r="C57" s="7" t="s">
        <v>68</v>
      </c>
      <c r="D57" s="11">
        <v>13905189614</v>
      </c>
      <c r="E57" s="8" t="s">
        <v>69</v>
      </c>
      <c r="F57" s="2" t="s">
        <v>7</v>
      </c>
      <c r="G57" s="2" t="s">
        <v>31</v>
      </c>
      <c r="H57" s="2" t="s">
        <v>62</v>
      </c>
      <c r="I57" s="20">
        <v>44742</v>
      </c>
    </row>
    <row r="58" spans="1:9">
      <c r="A58" s="9">
        <f t="shared" si="5"/>
        <v>57</v>
      </c>
      <c r="B58" s="27" t="s">
        <v>287</v>
      </c>
      <c r="C58" s="30" t="s">
        <v>141</v>
      </c>
      <c r="D58" s="11">
        <v>13901584566</v>
      </c>
      <c r="E58" s="8" t="s">
        <v>142</v>
      </c>
      <c r="F58" s="2" t="s">
        <v>2</v>
      </c>
      <c r="G58" s="2" t="s">
        <v>70</v>
      </c>
      <c r="H58" s="2" t="s">
        <v>91</v>
      </c>
      <c r="I58" s="20">
        <v>44742</v>
      </c>
    </row>
    <row r="59" spans="1:9">
      <c r="A59" s="9">
        <f t="shared" si="5"/>
        <v>58</v>
      </c>
      <c r="B59" s="27" t="s">
        <v>288</v>
      </c>
      <c r="C59" s="2" t="s">
        <v>168</v>
      </c>
      <c r="D59" s="11">
        <v>13851603292</v>
      </c>
      <c r="E59" s="8" t="s">
        <v>169</v>
      </c>
      <c r="F59" s="2" t="s">
        <v>2</v>
      </c>
      <c r="G59" s="2" t="s">
        <v>70</v>
      </c>
      <c r="H59" s="2" t="s">
        <v>91</v>
      </c>
      <c r="I59" s="20">
        <v>44733</v>
      </c>
    </row>
    <row r="60" spans="1:9">
      <c r="A60" s="9">
        <f t="shared" si="5"/>
        <v>59</v>
      </c>
      <c r="B60" s="27" t="s">
        <v>289</v>
      </c>
      <c r="C60" s="2" t="s">
        <v>290</v>
      </c>
      <c r="D60" s="11">
        <v>13905182622</v>
      </c>
      <c r="E60" s="8" t="s">
        <v>291</v>
      </c>
      <c r="F60" s="2" t="s">
        <v>4</v>
      </c>
      <c r="G60" s="2" t="s">
        <v>31</v>
      </c>
      <c r="H60" s="2" t="s">
        <v>91</v>
      </c>
      <c r="I60" s="2" t="s">
        <v>292</v>
      </c>
    </row>
    <row r="61" spans="1:9">
      <c r="A61" s="9">
        <f t="shared" si="5"/>
        <v>60</v>
      </c>
      <c r="B61" s="27" t="s">
        <v>293</v>
      </c>
      <c r="C61" s="2" t="s">
        <v>230</v>
      </c>
      <c r="D61" s="11">
        <v>15951828622</v>
      </c>
      <c r="E61" s="8" t="s">
        <v>231</v>
      </c>
      <c r="F61" s="2" t="s">
        <v>5</v>
      </c>
      <c r="G61" s="2" t="s">
        <v>31</v>
      </c>
      <c r="H61" s="2" t="s">
        <v>222</v>
      </c>
      <c r="I61" s="20">
        <v>44673</v>
      </c>
    </row>
    <row r="62" spans="1:9">
      <c r="A62" s="9">
        <f t="shared" si="5"/>
        <v>61</v>
      </c>
      <c r="B62" s="27" t="s">
        <v>294</v>
      </c>
      <c r="C62" s="2" t="s">
        <v>351</v>
      </c>
      <c r="D62" s="11">
        <v>15751868916</v>
      </c>
      <c r="E62" s="31" t="s">
        <v>296</v>
      </c>
      <c r="F62" s="2" t="s">
        <v>2</v>
      </c>
      <c r="G62" s="2" t="s">
        <v>70</v>
      </c>
      <c r="H62" s="2" t="s">
        <v>91</v>
      </c>
      <c r="I62" s="34" t="s">
        <v>297</v>
      </c>
    </row>
    <row r="63" spans="1:9">
      <c r="A63" s="9">
        <f t="shared" ref="A63:A71" si="6">ROW()-1</f>
        <v>62</v>
      </c>
      <c r="B63" s="27" t="s">
        <v>298</v>
      </c>
      <c r="C63" s="2" t="s">
        <v>299</v>
      </c>
      <c r="D63" s="11">
        <v>13905185927</v>
      </c>
      <c r="E63" s="8" t="s">
        <v>300</v>
      </c>
      <c r="F63" s="2" t="s">
        <v>2</v>
      </c>
      <c r="G63" s="2" t="s">
        <v>70</v>
      </c>
      <c r="H63" s="2" t="s">
        <v>91</v>
      </c>
      <c r="I63" s="34" t="s">
        <v>301</v>
      </c>
    </row>
    <row r="64" spans="1:9">
      <c r="A64" s="9">
        <f t="shared" si="6"/>
        <v>63</v>
      </c>
      <c r="B64" s="27" t="s">
        <v>302</v>
      </c>
      <c r="C64" s="2" t="s">
        <v>130</v>
      </c>
      <c r="D64" s="11">
        <v>13905182932</v>
      </c>
      <c r="E64" s="8" t="s">
        <v>131</v>
      </c>
      <c r="F64" s="2" t="s">
        <v>4</v>
      </c>
      <c r="G64" s="2" t="s">
        <v>31</v>
      </c>
      <c r="H64" s="2" t="s">
        <v>39</v>
      </c>
      <c r="I64" s="20">
        <v>44665</v>
      </c>
    </row>
    <row r="65" spans="1:9">
      <c r="A65" s="9">
        <f t="shared" si="6"/>
        <v>64</v>
      </c>
      <c r="B65" s="27" t="s">
        <v>303</v>
      </c>
      <c r="C65" s="2" t="s">
        <v>274</v>
      </c>
      <c r="D65" s="11">
        <v>13905185263</v>
      </c>
      <c r="E65" s="8" t="s">
        <v>275</v>
      </c>
      <c r="F65" s="2" t="s">
        <v>4</v>
      </c>
      <c r="G65" s="2" t="s">
        <v>31</v>
      </c>
      <c r="H65" s="2" t="s">
        <v>135</v>
      </c>
      <c r="I65" s="20">
        <v>44665</v>
      </c>
    </row>
    <row r="66" spans="1:9">
      <c r="A66" s="9">
        <f t="shared" si="6"/>
        <v>65</v>
      </c>
      <c r="B66" s="27" t="s">
        <v>304</v>
      </c>
      <c r="C66" s="2" t="s">
        <v>305</v>
      </c>
      <c r="D66" s="11">
        <v>13905182683</v>
      </c>
      <c r="E66" s="8" t="s">
        <v>306</v>
      </c>
      <c r="F66" s="2" t="s">
        <v>16</v>
      </c>
      <c r="G66" s="2" t="s">
        <v>31</v>
      </c>
      <c r="H66" s="2" t="s">
        <v>43</v>
      </c>
      <c r="I66" s="20">
        <v>44624</v>
      </c>
    </row>
    <row r="67" spans="1:9">
      <c r="A67" s="9">
        <f t="shared" si="6"/>
        <v>66</v>
      </c>
      <c r="B67" s="27" t="s">
        <v>308</v>
      </c>
      <c r="C67" s="2" t="s">
        <v>41</v>
      </c>
      <c r="D67" s="11">
        <v>15850521801</v>
      </c>
      <c r="E67" s="8" t="s">
        <v>42</v>
      </c>
      <c r="F67" s="2" t="s">
        <v>5</v>
      </c>
      <c r="G67" s="2" t="s">
        <v>31</v>
      </c>
      <c r="H67" s="2" t="s">
        <v>135</v>
      </c>
      <c r="I67" s="20">
        <v>44619</v>
      </c>
    </row>
    <row r="68" spans="1:9">
      <c r="A68" s="9">
        <f t="shared" si="6"/>
        <v>67</v>
      </c>
      <c r="B68" s="27" t="s">
        <v>309</v>
      </c>
      <c r="C68" s="2" t="s">
        <v>263</v>
      </c>
      <c r="D68" s="11">
        <v>13905181159</v>
      </c>
      <c r="E68" s="8" t="s">
        <v>264</v>
      </c>
      <c r="F68" s="2" t="s">
        <v>3</v>
      </c>
      <c r="G68" s="2" t="s">
        <v>70</v>
      </c>
      <c r="H68" s="2" t="s">
        <v>91</v>
      </c>
      <c r="I68" s="20">
        <v>44619</v>
      </c>
    </row>
    <row r="69" spans="1:9">
      <c r="A69" s="9">
        <f t="shared" si="6"/>
        <v>68</v>
      </c>
      <c r="B69" s="27" t="s">
        <v>310</v>
      </c>
      <c r="C69" s="18" t="s">
        <v>41</v>
      </c>
      <c r="D69" s="11">
        <v>15850521801</v>
      </c>
      <c r="E69" s="8" t="s">
        <v>42</v>
      </c>
      <c r="F69" s="18" t="s">
        <v>5</v>
      </c>
      <c r="G69" s="18" t="s">
        <v>31</v>
      </c>
      <c r="H69" s="18" t="s">
        <v>43</v>
      </c>
      <c r="I69" s="23">
        <v>44617</v>
      </c>
    </row>
    <row r="70" spans="1:9">
      <c r="A70" s="9">
        <f t="shared" si="6"/>
        <v>69</v>
      </c>
      <c r="B70" s="27" t="s">
        <v>311</v>
      </c>
      <c r="C70" s="2" t="s">
        <v>41</v>
      </c>
      <c r="D70" s="11">
        <v>15850521801</v>
      </c>
      <c r="E70" s="8" t="s">
        <v>42</v>
      </c>
      <c r="F70" s="2" t="s">
        <v>5</v>
      </c>
      <c r="G70" s="2" t="s">
        <v>31</v>
      </c>
      <c r="H70" s="2" t="s">
        <v>43</v>
      </c>
      <c r="I70" s="20">
        <v>44617</v>
      </c>
    </row>
    <row r="71" spans="1:9">
      <c r="A71" s="9">
        <f t="shared" si="6"/>
        <v>70</v>
      </c>
      <c r="B71" s="27" t="s">
        <v>312</v>
      </c>
      <c r="C71" s="2" t="s">
        <v>141</v>
      </c>
      <c r="D71" s="11">
        <v>13901584566</v>
      </c>
      <c r="E71" s="8" t="s">
        <v>142</v>
      </c>
      <c r="F71" s="2" t="s">
        <v>2</v>
      </c>
      <c r="G71" s="2" t="s">
        <v>70</v>
      </c>
      <c r="H71" s="2" t="s">
        <v>313</v>
      </c>
      <c r="I71" s="20">
        <v>44568</v>
      </c>
    </row>
  </sheetData>
  <autoFilter ref="A1:I71" xr:uid="{00000000-0009-0000-0000-000004000000}"/>
  <phoneticPr fontId="19" type="noConversion"/>
  <conditionalFormatting sqref="B1 B16:B71">
    <cfRule type="duplicateValues" dxfId="18" priority="8"/>
  </conditionalFormatting>
  <conditionalFormatting sqref="B2">
    <cfRule type="duplicateValues" dxfId="17" priority="1"/>
  </conditionalFormatting>
  <conditionalFormatting sqref="B3:B15">
    <cfRule type="duplicateValues" dxfId="16" priority="2"/>
  </conditionalFormatting>
  <conditionalFormatting sqref="C58"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</conditionalFormatting>
  <dataValidations count="1">
    <dataValidation type="list" allowBlank="1" showInputMessage="1" showErrorMessage="1" sqref="G67 G23:G54 G55:G66 G68:G69 G70:G71" xr:uid="{00000000-0002-0000-0400-000000000000}">
      <formula1>"数据中台,业务中台,技术中台"</formula1>
    </dataValidation>
  </dataValidations>
  <hyperlinks>
    <hyperlink ref="E40" r:id="rId1" xr:uid="{00000000-0004-0000-0400-000000000000}"/>
    <hyperlink ref="E42" r:id="rId2" xr:uid="{00000000-0004-0000-0400-000001000000}"/>
    <hyperlink ref="E43" r:id="rId3" xr:uid="{00000000-0004-0000-0400-000002000000}"/>
    <hyperlink ref="E45" r:id="rId4" xr:uid="{00000000-0004-0000-0400-000003000000}"/>
    <hyperlink ref="E33" r:id="rId5" xr:uid="{00000000-0004-0000-0400-000004000000}"/>
    <hyperlink ref="E30" r:id="rId6" tooltip="mailto:zhouzhikun@js.chinamobile.com" xr:uid="{00000000-0004-0000-0400-000005000000}"/>
    <hyperlink ref="E29" r:id="rId7" tooltip="mailto:sunyuanyuan@js.chinamobile.com" xr:uid="{00000000-0004-0000-0400-000006000000}"/>
    <hyperlink ref="E23" r:id="rId8" xr:uid="{00000000-0004-0000-0400-000007000000}"/>
    <hyperlink ref="E25" r:id="rId9" tooltip="mailto:liuliangsgs@js.chinamobile.com" xr:uid="{00000000-0004-0000-0400-000008000000}"/>
    <hyperlink ref="E26" r:id="rId10" xr:uid="{00000000-0004-0000-0400-000009000000}"/>
    <hyperlink ref="E27" r:id="rId11" tooltip="mailto:wuzukang@js.chinamobile.com" xr:uid="{00000000-0004-0000-0400-00000A000000}"/>
    <hyperlink ref="E24" r:id="rId12" xr:uid="{00000000-0004-0000-0400-00000B000000}"/>
    <hyperlink ref="E28" r:id="rId13" xr:uid="{00000000-0004-0000-0400-00000C000000}"/>
    <hyperlink ref="E21" r:id="rId14" xr:uid="{00000000-0004-0000-0400-00000D000000}"/>
    <hyperlink ref="E22" r:id="rId15" xr:uid="{00000000-0004-0000-0400-00000E000000}"/>
    <hyperlink ref="E16" r:id="rId16" xr:uid="{00000000-0004-0000-0400-00000F000000}"/>
    <hyperlink ref="E17" r:id="rId17" xr:uid="{00000000-0004-0000-0400-000010000000}"/>
    <hyperlink ref="E18" r:id="rId18" xr:uid="{00000000-0004-0000-0400-000011000000}"/>
    <hyperlink ref="E19" r:id="rId19" xr:uid="{00000000-0004-0000-0400-000012000000}"/>
    <hyperlink ref="E20" r:id="rId20" xr:uid="{00000000-0004-0000-0400-000013000000}"/>
    <hyperlink ref="E62" r:id="rId21" xr:uid="{00000000-0004-0000-0400-000014000000}"/>
    <hyperlink ref="E3" r:id="rId22" xr:uid="{00000000-0004-0000-0400-000015000000}"/>
    <hyperlink ref="E4" r:id="rId23" xr:uid="{00000000-0004-0000-0400-000016000000}"/>
    <hyperlink ref="E5" r:id="rId24" xr:uid="{00000000-0004-0000-0400-000017000000}"/>
    <hyperlink ref="E6" r:id="rId25" xr:uid="{00000000-0004-0000-0400-000018000000}"/>
    <hyperlink ref="E7" r:id="rId26" xr:uid="{00000000-0004-0000-0400-000019000000}"/>
    <hyperlink ref="E8" r:id="rId27" xr:uid="{00000000-0004-0000-0400-00001A000000}"/>
    <hyperlink ref="E9" r:id="rId28" tooltip="mailto:chenxiaofeng@js.chinamobile.com" xr:uid="{00000000-0004-0000-0400-00001B000000}"/>
    <hyperlink ref="E10" r:id="rId29" tooltip="mailto:chenleisgs1@js.chinamobile.com" xr:uid="{00000000-0004-0000-0400-00001C000000}"/>
    <hyperlink ref="E11" r:id="rId30" xr:uid="{00000000-0004-0000-0400-00001D000000}"/>
    <hyperlink ref="E12" r:id="rId31" xr:uid="{00000000-0004-0000-0400-00001E000000}"/>
    <hyperlink ref="E13" r:id="rId32" xr:uid="{00000000-0004-0000-0400-00001F000000}"/>
    <hyperlink ref="E14" r:id="rId33" xr:uid="{00000000-0004-0000-0400-000020000000}"/>
    <hyperlink ref="E15" r:id="rId34" xr:uid="{00000000-0004-0000-0400-00002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>
      <selection activeCell="E20" sqref="E20"/>
    </sheetView>
  </sheetViews>
  <sheetFormatPr defaultColWidth="9.21875" defaultRowHeight="14.4"/>
  <cols>
    <col min="1" max="1" width="6" customWidth="1"/>
    <col min="2" max="2" width="39.33203125" customWidth="1"/>
    <col min="3" max="3" width="8.109375" customWidth="1"/>
    <col min="4" max="4" width="15.88671875" customWidth="1"/>
    <col min="5" max="5" width="37.109375" customWidth="1"/>
    <col min="6" max="8" width="10.33203125" customWidth="1"/>
    <col min="9" max="9" width="12.109375" customWidth="1"/>
    <col min="11" max="11" width="12.33203125"/>
    <col min="12" max="12" width="18.109375"/>
  </cols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0</v>
      </c>
      <c r="G1" s="1" t="s">
        <v>24</v>
      </c>
      <c r="H1" s="1" t="s">
        <v>25</v>
      </c>
      <c r="I1" s="1" t="s">
        <v>26</v>
      </c>
    </row>
    <row r="2" spans="1:9">
      <c r="A2" s="2">
        <f t="shared" ref="A2:A11" si="0">ROW()-1</f>
        <v>1</v>
      </c>
      <c r="B2" s="2" t="s">
        <v>77</v>
      </c>
      <c r="C2" s="2" t="s">
        <v>78</v>
      </c>
      <c r="D2" s="3">
        <v>13905187226</v>
      </c>
      <c r="E2" s="4" t="s">
        <v>79</v>
      </c>
      <c r="F2" s="3" t="s">
        <v>9</v>
      </c>
      <c r="G2" s="2" t="s">
        <v>31</v>
      </c>
      <c r="H2" s="2" t="s">
        <v>9</v>
      </c>
      <c r="I2" s="20">
        <v>45285</v>
      </c>
    </row>
    <row r="3" spans="1:9">
      <c r="A3" s="2">
        <f t="shared" si="0"/>
        <v>2</v>
      </c>
      <c r="B3" s="2" t="s">
        <v>80</v>
      </c>
      <c r="C3" s="2" t="s">
        <v>81</v>
      </c>
      <c r="D3" s="3">
        <v>18851844801</v>
      </c>
      <c r="E3" s="4" t="s">
        <v>82</v>
      </c>
      <c r="F3" s="3" t="s">
        <v>9</v>
      </c>
      <c r="G3" s="2" t="s">
        <v>31</v>
      </c>
      <c r="H3" s="2" t="s">
        <v>9</v>
      </c>
      <c r="I3" s="20">
        <v>45285</v>
      </c>
    </row>
    <row r="4" spans="1:9">
      <c r="A4" s="2">
        <f t="shared" si="0"/>
        <v>3</v>
      </c>
      <c r="B4" s="2" t="s">
        <v>83</v>
      </c>
      <c r="C4" s="2" t="s">
        <v>84</v>
      </c>
      <c r="D4" s="3">
        <v>13905189624</v>
      </c>
      <c r="E4" s="5" t="s">
        <v>85</v>
      </c>
      <c r="F4" s="3" t="s">
        <v>7</v>
      </c>
      <c r="G4" s="2" t="s">
        <v>31</v>
      </c>
      <c r="H4" s="2" t="s">
        <v>86</v>
      </c>
      <c r="I4" s="20">
        <v>45285</v>
      </c>
    </row>
    <row r="5" spans="1:9">
      <c r="A5" s="2">
        <f t="shared" si="0"/>
        <v>4</v>
      </c>
      <c r="B5" s="2" t="s">
        <v>87</v>
      </c>
      <c r="C5" s="2" t="s">
        <v>59</v>
      </c>
      <c r="D5" s="2">
        <v>13905181903</v>
      </c>
      <c r="E5" s="2" t="s">
        <v>60</v>
      </c>
      <c r="F5" s="2" t="s">
        <v>61</v>
      </c>
      <c r="G5" s="2" t="s">
        <v>56</v>
      </c>
      <c r="H5" s="6" t="s">
        <v>62</v>
      </c>
      <c r="I5" s="20">
        <v>45268</v>
      </c>
    </row>
    <row r="6" spans="1:9">
      <c r="A6" s="2">
        <f t="shared" si="0"/>
        <v>5</v>
      </c>
      <c r="B6" s="2" t="s">
        <v>88</v>
      </c>
      <c r="C6" s="2" t="s">
        <v>89</v>
      </c>
      <c r="D6" s="6">
        <v>15951937034</v>
      </c>
      <c r="E6" s="2" t="s">
        <v>90</v>
      </c>
      <c r="F6" s="2" t="s">
        <v>2</v>
      </c>
      <c r="G6" s="2" t="s">
        <v>70</v>
      </c>
      <c r="H6" s="6" t="s">
        <v>91</v>
      </c>
      <c r="I6" s="21">
        <v>45246</v>
      </c>
    </row>
    <row r="7" spans="1:9">
      <c r="A7" s="2">
        <f t="shared" si="0"/>
        <v>6</v>
      </c>
      <c r="B7" s="2" t="s">
        <v>92</v>
      </c>
      <c r="C7" s="2" t="s">
        <v>93</v>
      </c>
      <c r="D7" s="6">
        <v>13905189237</v>
      </c>
      <c r="E7" s="2" t="s">
        <v>94</v>
      </c>
      <c r="F7" s="2" t="s">
        <v>2</v>
      </c>
      <c r="G7" s="2" t="s">
        <v>70</v>
      </c>
      <c r="H7" s="6" t="s">
        <v>91</v>
      </c>
      <c r="I7" s="21">
        <v>45246</v>
      </c>
    </row>
    <row r="8" spans="1:9">
      <c r="A8" s="2">
        <f t="shared" si="0"/>
        <v>7</v>
      </c>
      <c r="B8" s="2" t="s">
        <v>95</v>
      </c>
      <c r="C8" s="2" t="s">
        <v>89</v>
      </c>
      <c r="D8" s="6">
        <v>15951937034</v>
      </c>
      <c r="E8" s="2" t="s">
        <v>90</v>
      </c>
      <c r="F8" s="2" t="s">
        <v>2</v>
      </c>
      <c r="G8" s="2" t="s">
        <v>70</v>
      </c>
      <c r="H8" s="6" t="s">
        <v>91</v>
      </c>
      <c r="I8" s="21">
        <v>45246</v>
      </c>
    </row>
    <row r="9" spans="1:9">
      <c r="A9" s="2">
        <f t="shared" si="0"/>
        <v>8</v>
      </c>
      <c r="B9" s="2" t="s">
        <v>96</v>
      </c>
      <c r="C9" s="2" t="s">
        <v>97</v>
      </c>
      <c r="D9" s="6">
        <v>13814013535</v>
      </c>
      <c r="E9" s="2" t="s">
        <v>98</v>
      </c>
      <c r="F9" s="2" t="s">
        <v>12</v>
      </c>
      <c r="G9" s="2" t="s">
        <v>31</v>
      </c>
      <c r="H9" s="6" t="s">
        <v>12</v>
      </c>
      <c r="I9" s="21">
        <v>45246</v>
      </c>
    </row>
    <row r="10" spans="1:9">
      <c r="A10" s="2">
        <f t="shared" si="0"/>
        <v>9</v>
      </c>
      <c r="B10" s="2" t="s">
        <v>99</v>
      </c>
      <c r="C10" s="2" t="s">
        <v>100</v>
      </c>
      <c r="D10" s="6">
        <v>13905182138</v>
      </c>
      <c r="E10" s="2" t="s">
        <v>101</v>
      </c>
      <c r="F10" s="2" t="s">
        <v>61</v>
      </c>
      <c r="G10" s="2" t="s">
        <v>56</v>
      </c>
      <c r="H10" s="6" t="s">
        <v>102</v>
      </c>
      <c r="I10" s="21">
        <v>45246</v>
      </c>
    </row>
    <row r="11" spans="1:9">
      <c r="A11" s="2">
        <f t="shared" si="0"/>
        <v>10</v>
      </c>
      <c r="B11" s="2" t="s">
        <v>103</v>
      </c>
      <c r="C11" s="2" t="s">
        <v>104</v>
      </c>
      <c r="D11" s="6">
        <v>13901586356</v>
      </c>
      <c r="E11" s="2" t="s">
        <v>105</v>
      </c>
      <c r="F11" s="2" t="s">
        <v>3</v>
      </c>
      <c r="G11" s="2" t="s">
        <v>70</v>
      </c>
      <c r="H11" s="6" t="s">
        <v>91</v>
      </c>
      <c r="I11" s="21">
        <v>45246</v>
      </c>
    </row>
    <row r="12" spans="1:9">
      <c r="A12" s="2">
        <f t="shared" ref="A12:A21" si="1">ROW()-1</f>
        <v>11</v>
      </c>
      <c r="B12" s="2" t="s">
        <v>106</v>
      </c>
      <c r="C12" s="2" t="s">
        <v>68</v>
      </c>
      <c r="D12" s="6">
        <v>13905189614</v>
      </c>
      <c r="E12" s="2" t="s">
        <v>69</v>
      </c>
      <c r="F12" s="2" t="s">
        <v>61</v>
      </c>
      <c r="G12" s="2" t="s">
        <v>31</v>
      </c>
      <c r="H12" s="6" t="s">
        <v>62</v>
      </c>
      <c r="I12" s="21">
        <v>45246</v>
      </c>
    </row>
    <row r="13" spans="1:9">
      <c r="A13" s="2">
        <f t="shared" si="1"/>
        <v>12</v>
      </c>
      <c r="B13" s="2" t="s">
        <v>107</v>
      </c>
      <c r="C13" s="2" t="s">
        <v>108</v>
      </c>
      <c r="D13" s="6">
        <v>13905189514</v>
      </c>
      <c r="E13" s="2" t="s">
        <v>109</v>
      </c>
      <c r="F13" s="2" t="s">
        <v>75</v>
      </c>
      <c r="G13" s="2" t="s">
        <v>70</v>
      </c>
      <c r="H13" s="6" t="s">
        <v>353</v>
      </c>
      <c r="I13" s="21">
        <v>45246</v>
      </c>
    </row>
    <row r="14" spans="1:9">
      <c r="A14" s="2">
        <f t="shared" si="1"/>
        <v>13</v>
      </c>
      <c r="B14" s="2" t="s">
        <v>110</v>
      </c>
      <c r="C14" s="2" t="s">
        <v>111</v>
      </c>
      <c r="D14" s="6">
        <v>13912980692</v>
      </c>
      <c r="E14" s="2" t="s">
        <v>112</v>
      </c>
      <c r="F14" s="2" t="s">
        <v>3</v>
      </c>
      <c r="G14" s="2" t="s">
        <v>70</v>
      </c>
      <c r="H14" s="6" t="s">
        <v>91</v>
      </c>
      <c r="I14" s="21">
        <v>45246</v>
      </c>
    </row>
    <row r="15" spans="1:9">
      <c r="A15" s="2">
        <f t="shared" si="1"/>
        <v>14</v>
      </c>
      <c r="B15" s="2" t="s">
        <v>113</v>
      </c>
      <c r="C15" s="2" t="s">
        <v>114</v>
      </c>
      <c r="D15" s="6">
        <v>13905181096</v>
      </c>
      <c r="E15" s="2" t="s">
        <v>115</v>
      </c>
      <c r="F15" s="2" t="s">
        <v>3</v>
      </c>
      <c r="G15" s="2" t="s">
        <v>70</v>
      </c>
      <c r="H15" s="6" t="s">
        <v>43</v>
      </c>
      <c r="I15" s="21">
        <v>45246</v>
      </c>
    </row>
    <row r="16" spans="1:9">
      <c r="A16" s="2">
        <f t="shared" si="1"/>
        <v>15</v>
      </c>
      <c r="B16" s="2" t="s">
        <v>116</v>
      </c>
      <c r="C16" s="2" t="s">
        <v>117</v>
      </c>
      <c r="D16" s="6">
        <v>13905181072</v>
      </c>
      <c r="E16" s="2" t="s">
        <v>118</v>
      </c>
      <c r="F16" s="2" t="s">
        <v>3</v>
      </c>
      <c r="G16" s="2" t="s">
        <v>70</v>
      </c>
      <c r="H16" s="6" t="s">
        <v>43</v>
      </c>
      <c r="I16" s="21">
        <v>45246</v>
      </c>
    </row>
    <row r="17" spans="1:9">
      <c r="A17" s="2">
        <f t="shared" si="1"/>
        <v>16</v>
      </c>
      <c r="B17" s="2" t="s">
        <v>119</v>
      </c>
      <c r="C17" s="2" t="s">
        <v>120</v>
      </c>
      <c r="D17" s="6">
        <v>13905182506</v>
      </c>
      <c r="E17" s="2" t="s">
        <v>121</v>
      </c>
      <c r="F17" s="2" t="s">
        <v>5</v>
      </c>
      <c r="G17" s="2" t="s">
        <v>31</v>
      </c>
      <c r="H17" s="6" t="s">
        <v>91</v>
      </c>
      <c r="I17" s="21">
        <v>45246</v>
      </c>
    </row>
    <row r="18" spans="1:9">
      <c r="A18" s="2">
        <f t="shared" si="1"/>
        <v>17</v>
      </c>
      <c r="B18" s="2" t="s">
        <v>122</v>
      </c>
      <c r="C18" s="2" t="s">
        <v>123</v>
      </c>
      <c r="D18" s="6">
        <v>13905182911</v>
      </c>
      <c r="E18" s="2" t="s">
        <v>124</v>
      </c>
      <c r="F18" s="2" t="s">
        <v>75</v>
      </c>
      <c r="G18" s="2" t="s">
        <v>70</v>
      </c>
      <c r="H18" s="6" t="s">
        <v>91</v>
      </c>
      <c r="I18" s="21">
        <v>45246</v>
      </c>
    </row>
    <row r="19" spans="1:9">
      <c r="A19" s="2">
        <f t="shared" si="1"/>
        <v>18</v>
      </c>
      <c r="B19" s="2" t="s">
        <v>125</v>
      </c>
      <c r="C19" s="2" t="s">
        <v>126</v>
      </c>
      <c r="D19" s="2">
        <v>13905187138</v>
      </c>
      <c r="E19" s="2" t="s">
        <v>127</v>
      </c>
      <c r="F19" s="2" t="s">
        <v>9</v>
      </c>
      <c r="G19" s="2" t="s">
        <v>31</v>
      </c>
      <c r="H19" s="2" t="s">
        <v>9</v>
      </c>
      <c r="I19" s="20">
        <v>45240</v>
      </c>
    </row>
    <row r="20" spans="1:9">
      <c r="A20" s="2">
        <f t="shared" si="1"/>
        <v>19</v>
      </c>
      <c r="B20" s="2" t="s">
        <v>128</v>
      </c>
      <c r="C20" s="2" t="s">
        <v>33</v>
      </c>
      <c r="D20" s="2">
        <v>13905182351</v>
      </c>
      <c r="E20" s="2" t="s">
        <v>34</v>
      </c>
      <c r="F20" s="2" t="s">
        <v>4</v>
      </c>
      <c r="G20" s="2" t="s">
        <v>31</v>
      </c>
      <c r="H20" s="2" t="s">
        <v>35</v>
      </c>
      <c r="I20" s="20">
        <v>45240</v>
      </c>
    </row>
    <row r="21" spans="1:9">
      <c r="A21" s="2">
        <f t="shared" si="1"/>
        <v>20</v>
      </c>
      <c r="B21" s="2" t="s">
        <v>129</v>
      </c>
      <c r="C21" s="2" t="s">
        <v>130</v>
      </c>
      <c r="D21" s="2">
        <v>13905182932</v>
      </c>
      <c r="E21" s="2" t="s">
        <v>131</v>
      </c>
      <c r="F21" s="2" t="s">
        <v>4</v>
      </c>
      <c r="G21" s="2" t="s">
        <v>31</v>
      </c>
      <c r="H21" s="2" t="s">
        <v>39</v>
      </c>
      <c r="I21" s="20">
        <v>45240</v>
      </c>
    </row>
    <row r="22" spans="1:9">
      <c r="A22" s="2">
        <f t="shared" ref="A22:A31" si="2">ROW()-1</f>
        <v>21</v>
      </c>
      <c r="B22" s="2" t="s">
        <v>132</v>
      </c>
      <c r="C22" s="2" t="s">
        <v>133</v>
      </c>
      <c r="D22" s="2">
        <v>13905180662</v>
      </c>
      <c r="E22" s="2" t="s">
        <v>134</v>
      </c>
      <c r="F22" s="2" t="s">
        <v>4</v>
      </c>
      <c r="G22" s="2" t="s">
        <v>31</v>
      </c>
      <c r="H22" s="2" t="s">
        <v>135</v>
      </c>
      <c r="I22" s="20">
        <v>45240</v>
      </c>
    </row>
    <row r="23" spans="1:9">
      <c r="A23" s="2">
        <f t="shared" si="2"/>
        <v>22</v>
      </c>
      <c r="B23" s="2" t="s">
        <v>136</v>
      </c>
      <c r="C23" s="2" t="s">
        <v>48</v>
      </c>
      <c r="D23" s="2">
        <v>13905183089</v>
      </c>
      <c r="E23" s="2" t="s">
        <v>49</v>
      </c>
      <c r="F23" s="2" t="s">
        <v>6</v>
      </c>
      <c r="G23" s="2" t="s">
        <v>31</v>
      </c>
      <c r="H23" s="2" t="s">
        <v>6</v>
      </c>
      <c r="I23" s="22">
        <v>45222</v>
      </c>
    </row>
    <row r="24" spans="1:9">
      <c r="A24" s="2">
        <f t="shared" si="2"/>
        <v>23</v>
      </c>
      <c r="B24" s="2" t="s">
        <v>137</v>
      </c>
      <c r="C24" s="2" t="s">
        <v>138</v>
      </c>
      <c r="D24" s="7">
        <v>13621586093</v>
      </c>
      <c r="E24" s="7" t="s">
        <v>139</v>
      </c>
      <c r="F24" s="2" t="s">
        <v>61</v>
      </c>
      <c r="G24" s="2" t="s">
        <v>70</v>
      </c>
      <c r="H24" s="2" t="s">
        <v>91</v>
      </c>
      <c r="I24" s="20">
        <v>45215</v>
      </c>
    </row>
    <row r="25" spans="1:9">
      <c r="A25" s="2">
        <f t="shared" si="2"/>
        <v>24</v>
      </c>
      <c r="B25" s="2" t="s">
        <v>140</v>
      </c>
      <c r="C25" s="2" t="s">
        <v>141</v>
      </c>
      <c r="D25" s="2">
        <v>13901584566</v>
      </c>
      <c r="E25" s="8" t="s">
        <v>142</v>
      </c>
      <c r="F25" s="2" t="s">
        <v>2</v>
      </c>
      <c r="G25" s="2" t="s">
        <v>70</v>
      </c>
      <c r="H25" s="2" t="s">
        <v>91</v>
      </c>
      <c r="I25" s="20">
        <v>45119</v>
      </c>
    </row>
    <row r="26" spans="1:9">
      <c r="A26" s="2">
        <f t="shared" si="2"/>
        <v>25</v>
      </c>
      <c r="B26" s="2" t="s">
        <v>143</v>
      </c>
      <c r="C26" s="2" t="s">
        <v>144</v>
      </c>
      <c r="D26" s="9">
        <v>13905182436</v>
      </c>
      <c r="E26" s="8" t="s">
        <v>145</v>
      </c>
      <c r="F26" s="10" t="s">
        <v>3</v>
      </c>
      <c r="G26" s="9" t="s">
        <v>70</v>
      </c>
      <c r="H26" s="9" t="s">
        <v>91</v>
      </c>
      <c r="I26" s="20">
        <v>45119</v>
      </c>
    </row>
    <row r="27" spans="1:9">
      <c r="A27" s="2">
        <f t="shared" si="2"/>
        <v>26</v>
      </c>
      <c r="B27" s="11" t="s">
        <v>146</v>
      </c>
      <c r="C27" s="12" t="s">
        <v>147</v>
      </c>
      <c r="D27" s="2">
        <v>13905182359</v>
      </c>
      <c r="E27" s="8" t="s">
        <v>148</v>
      </c>
      <c r="F27" s="13" t="s">
        <v>9</v>
      </c>
      <c r="G27" s="2" t="s">
        <v>56</v>
      </c>
      <c r="H27" s="13" t="s">
        <v>9</v>
      </c>
      <c r="I27" s="22">
        <v>45086</v>
      </c>
    </row>
    <row r="28" spans="1:9">
      <c r="A28" s="2">
        <f t="shared" si="2"/>
        <v>27</v>
      </c>
      <c r="B28" s="11" t="s">
        <v>149</v>
      </c>
      <c r="C28" s="12" t="s">
        <v>147</v>
      </c>
      <c r="D28" s="2">
        <v>13905182359</v>
      </c>
      <c r="E28" s="8" t="s">
        <v>148</v>
      </c>
      <c r="F28" s="13" t="s">
        <v>9</v>
      </c>
      <c r="G28" s="2" t="s">
        <v>56</v>
      </c>
      <c r="H28" s="13" t="s">
        <v>9</v>
      </c>
      <c r="I28" s="22">
        <v>45086</v>
      </c>
    </row>
    <row r="29" spans="1:9">
      <c r="A29" s="2">
        <f t="shared" si="2"/>
        <v>28</v>
      </c>
      <c r="B29" s="13" t="s">
        <v>150</v>
      </c>
      <c r="C29" s="14" t="s">
        <v>151</v>
      </c>
      <c r="D29" s="13">
        <v>13645169866</v>
      </c>
      <c r="E29" s="13" t="s">
        <v>152</v>
      </c>
      <c r="F29" s="14" t="s">
        <v>2</v>
      </c>
      <c r="G29" s="14" t="s">
        <v>70</v>
      </c>
      <c r="H29" s="13" t="s">
        <v>153</v>
      </c>
      <c r="I29" s="22">
        <v>45042</v>
      </c>
    </row>
    <row r="30" spans="1:9">
      <c r="A30" s="2">
        <f t="shared" si="2"/>
        <v>29</v>
      </c>
      <c r="B30" s="2" t="s">
        <v>154</v>
      </c>
      <c r="C30" s="2" t="s">
        <v>155</v>
      </c>
      <c r="D30" s="2">
        <v>13905182601</v>
      </c>
      <c r="E30" s="2" t="s">
        <v>156</v>
      </c>
      <c r="F30" s="2" t="s">
        <v>2</v>
      </c>
      <c r="G30" s="2" t="s">
        <v>70</v>
      </c>
      <c r="H30" s="2" t="s">
        <v>91</v>
      </c>
      <c r="I30" s="20">
        <v>44992</v>
      </c>
    </row>
    <row r="31" spans="1:9">
      <c r="A31" s="2">
        <f t="shared" si="2"/>
        <v>30</v>
      </c>
      <c r="B31" s="15" t="s">
        <v>160</v>
      </c>
      <c r="C31" s="2" t="s">
        <v>161</v>
      </c>
      <c r="D31" s="2">
        <v>13901589554</v>
      </c>
      <c r="E31" s="2" t="s">
        <v>162</v>
      </c>
      <c r="F31" s="13" t="s">
        <v>4</v>
      </c>
      <c r="G31" s="11" t="s">
        <v>56</v>
      </c>
      <c r="H31" s="11" t="s">
        <v>43</v>
      </c>
      <c r="I31" s="20">
        <v>44985</v>
      </c>
    </row>
    <row r="32" spans="1:9">
      <c r="A32" s="2">
        <f t="shared" ref="A32:A38" si="3">ROW()-1</f>
        <v>31</v>
      </c>
      <c r="B32" s="15" t="s">
        <v>163</v>
      </c>
      <c r="C32" s="2" t="s">
        <v>59</v>
      </c>
      <c r="D32" s="2">
        <v>13905181903</v>
      </c>
      <c r="E32" s="2" t="s">
        <v>60</v>
      </c>
      <c r="F32" s="13" t="s">
        <v>61</v>
      </c>
      <c r="G32" s="11" t="s">
        <v>56</v>
      </c>
      <c r="H32" s="11" t="s">
        <v>164</v>
      </c>
      <c r="I32" s="20">
        <v>44985</v>
      </c>
    </row>
    <row r="33" spans="1:9">
      <c r="A33" s="2">
        <f t="shared" si="3"/>
        <v>32</v>
      </c>
      <c r="B33" s="15" t="s">
        <v>165</v>
      </c>
      <c r="C33" s="2" t="s">
        <v>59</v>
      </c>
      <c r="D33" s="2">
        <v>13905181903</v>
      </c>
      <c r="E33" s="2" t="s">
        <v>60</v>
      </c>
      <c r="F33" s="13" t="s">
        <v>61</v>
      </c>
      <c r="G33" s="11" t="s">
        <v>56</v>
      </c>
      <c r="H33" s="11" t="s">
        <v>164</v>
      </c>
      <c r="I33" s="20">
        <v>44985</v>
      </c>
    </row>
    <row r="34" spans="1:9">
      <c r="A34" s="2">
        <f t="shared" si="3"/>
        <v>33</v>
      </c>
      <c r="B34" s="15" t="s">
        <v>166</v>
      </c>
      <c r="C34" s="2" t="s">
        <v>59</v>
      </c>
      <c r="D34" s="2">
        <v>13905181903</v>
      </c>
      <c r="E34" s="2" t="s">
        <v>60</v>
      </c>
      <c r="F34" s="13" t="s">
        <v>61</v>
      </c>
      <c r="G34" s="11" t="s">
        <v>56</v>
      </c>
      <c r="H34" s="11" t="s">
        <v>164</v>
      </c>
      <c r="I34" s="20">
        <v>44985</v>
      </c>
    </row>
    <row r="35" spans="1:9">
      <c r="A35" s="2">
        <f t="shared" si="3"/>
        <v>34</v>
      </c>
      <c r="B35" s="14" t="s">
        <v>167</v>
      </c>
      <c r="C35" s="13" t="s">
        <v>168</v>
      </c>
      <c r="D35" s="13">
        <v>13851603292</v>
      </c>
      <c r="E35" s="13" t="s">
        <v>169</v>
      </c>
      <c r="F35" s="13" t="s">
        <v>2</v>
      </c>
      <c r="G35" s="16" t="s">
        <v>70</v>
      </c>
      <c r="H35" s="16" t="s">
        <v>170</v>
      </c>
      <c r="I35" s="22">
        <v>44985</v>
      </c>
    </row>
    <row r="36" spans="1:9">
      <c r="A36" s="2">
        <f t="shared" si="3"/>
        <v>35</v>
      </c>
      <c r="B36" s="2" t="s">
        <v>171</v>
      </c>
      <c r="C36" s="2" t="s">
        <v>172</v>
      </c>
      <c r="D36" s="2">
        <v>13905180367</v>
      </c>
      <c r="E36" s="2" t="s">
        <v>173</v>
      </c>
      <c r="F36" s="2" t="s">
        <v>2</v>
      </c>
      <c r="G36" s="2" t="s">
        <v>70</v>
      </c>
      <c r="H36" s="2" t="s">
        <v>91</v>
      </c>
      <c r="I36" s="20">
        <v>44985</v>
      </c>
    </row>
    <row r="37" spans="1:9">
      <c r="A37" s="2">
        <f t="shared" si="3"/>
        <v>36</v>
      </c>
      <c r="B37" s="17" t="s">
        <v>174</v>
      </c>
      <c r="C37" s="18" t="s">
        <v>100</v>
      </c>
      <c r="D37" s="18">
        <v>13905182138</v>
      </c>
      <c r="E37" s="18" t="s">
        <v>101</v>
      </c>
      <c r="F37" s="18" t="s">
        <v>61</v>
      </c>
      <c r="G37" s="19" t="s">
        <v>56</v>
      </c>
      <c r="H37" s="19" t="s">
        <v>102</v>
      </c>
      <c r="I37" s="23">
        <v>44985</v>
      </c>
    </row>
    <row r="38" spans="1:9">
      <c r="A38" s="2">
        <f t="shared" si="3"/>
        <v>37</v>
      </c>
      <c r="B38" s="2" t="s">
        <v>204</v>
      </c>
      <c r="C38" s="2" t="s">
        <v>205</v>
      </c>
      <c r="D38" s="2">
        <v>13905183170</v>
      </c>
      <c r="E38" s="2" t="s">
        <v>206</v>
      </c>
      <c r="F38" s="2" t="s">
        <v>6</v>
      </c>
      <c r="G38" s="2" t="s">
        <v>31</v>
      </c>
      <c r="H38" s="2" t="s">
        <v>6</v>
      </c>
      <c r="I38" s="20">
        <v>44985</v>
      </c>
    </row>
  </sheetData>
  <phoneticPr fontId="19" type="noConversion"/>
  <conditionalFormatting sqref="B1 B38 B23:B29">
    <cfRule type="duplicateValues" dxfId="10" priority="11"/>
  </conditionalFormatting>
  <conditionalFormatting sqref="B2:B5">
    <cfRule type="duplicateValues" dxfId="9" priority="3"/>
  </conditionalFormatting>
  <conditionalFormatting sqref="B6:B21">
    <cfRule type="duplicateValues" dxfId="8" priority="6"/>
  </conditionalFormatting>
  <conditionalFormatting sqref="B30">
    <cfRule type="duplicateValues" dxfId="7" priority="9"/>
  </conditionalFormatting>
  <conditionalFormatting sqref="B31:B37">
    <cfRule type="duplicateValues" dxfId="6" priority="10"/>
  </conditionalFormatting>
  <conditionalFormatting sqref="C5">
    <cfRule type="duplicateValues" dxfId="5" priority="2"/>
  </conditionalFormatting>
  <conditionalFormatting sqref="C6">
    <cfRule type="duplicateValues" dxfId="4" priority="5"/>
  </conditionalFormatting>
  <conditionalFormatting sqref="C7:C18">
    <cfRule type="duplicateValues" dxfId="3" priority="4"/>
  </conditionalFormatting>
  <conditionalFormatting sqref="C19:D21 B22:D22">
    <cfRule type="duplicateValues" dxfId="2" priority="7"/>
  </conditionalFormatting>
  <conditionalFormatting sqref="E22:E23">
    <cfRule type="duplicateValues" dxfId="1" priority="8"/>
  </conditionalFormatting>
  <conditionalFormatting sqref="F5">
    <cfRule type="duplicateValues" dxfId="0" priority="1"/>
  </conditionalFormatting>
  <dataValidations count="1">
    <dataValidation type="list" allowBlank="1" showInputMessage="1" showErrorMessage="1" sqref="G25 G26 G19:G22" xr:uid="{00000000-0002-0000-0500-000000000000}">
      <formula1>"数据中台,业务中台,技术中台"</formula1>
    </dataValidation>
  </dataValidations>
  <hyperlinks>
    <hyperlink ref="E36" r:id="rId1" tooltip="mailto:chenxiaofeng@js.chinamobile.com" xr:uid="{00000000-0004-0000-0500-000000000000}"/>
    <hyperlink ref="E35" r:id="rId2" xr:uid="{00000000-0004-0000-0500-000001000000}"/>
    <hyperlink ref="E32" r:id="rId3" tooltip="mailto:guqiang@js.chinamobile.com" xr:uid="{00000000-0004-0000-0500-000002000000}"/>
    <hyperlink ref="E33" r:id="rId4" xr:uid="{00000000-0004-0000-0500-000003000000}"/>
    <hyperlink ref="E34" r:id="rId5" tooltip="mailto:guqiang@js.chinamobile.com" xr:uid="{00000000-0004-0000-0500-000004000000}"/>
    <hyperlink ref="E38" r:id="rId6" tooltip="mailto:wangyingsgs2@js.chinamobile.com" xr:uid="{00000000-0004-0000-0500-000005000000}"/>
    <hyperlink ref="E31" r:id="rId7" tooltip="mailto:yangshusgs@js.chinamobile.com" xr:uid="{00000000-0004-0000-0500-000006000000}"/>
    <hyperlink ref="E37" r:id="rId8" tooltip="mailto:xukui9@js.chinamobile.com" xr:uid="{00000000-0004-0000-0500-000007000000}"/>
    <hyperlink ref="E30" r:id="rId9" tooltip="mailto:wangxueliang@js.chinamobile.com" xr:uid="{00000000-0004-0000-0500-000008000000}"/>
    <hyperlink ref="E29" r:id="rId10" tooltip="mailto:chenleisgs1@js.chinamobile.com" xr:uid="{00000000-0004-0000-0500-000009000000}"/>
    <hyperlink ref="E27" r:id="rId11" xr:uid="{00000000-0004-0000-0500-00000A000000}"/>
    <hyperlink ref="E28" r:id="rId12" xr:uid="{00000000-0004-0000-0500-00000B000000}"/>
    <hyperlink ref="E26" r:id="rId13" tooltip="mailto:sunyuanyuan@js.chinamobile.com" xr:uid="{00000000-0004-0000-0500-00000C000000}"/>
    <hyperlink ref="E23" r:id="rId14" xr:uid="{00000000-0004-0000-0500-00000D000000}"/>
    <hyperlink ref="E19" r:id="rId15" xr:uid="{00000000-0004-0000-0500-00000E000000}"/>
    <hyperlink ref="E20" r:id="rId16" xr:uid="{00000000-0004-0000-0500-00000F000000}"/>
    <hyperlink ref="E21" r:id="rId17" xr:uid="{00000000-0004-0000-0500-000010000000}"/>
    <hyperlink ref="E22" r:id="rId18" xr:uid="{00000000-0004-0000-0500-000011000000}"/>
    <hyperlink ref="E6" r:id="rId19" xr:uid="{00000000-0004-0000-0500-000012000000}"/>
    <hyperlink ref="E8" r:id="rId20" xr:uid="{00000000-0004-0000-0500-000013000000}"/>
    <hyperlink ref="E7" r:id="rId21" xr:uid="{00000000-0004-0000-0500-000014000000}"/>
    <hyperlink ref="E9" r:id="rId22" xr:uid="{00000000-0004-0000-0500-000015000000}"/>
    <hyperlink ref="E11" r:id="rId23" xr:uid="{00000000-0004-0000-0500-000016000000}"/>
    <hyperlink ref="E12" r:id="rId24" xr:uid="{00000000-0004-0000-0500-000017000000}"/>
    <hyperlink ref="E13" r:id="rId25" xr:uid="{00000000-0004-0000-0500-000018000000}"/>
    <hyperlink ref="E14" r:id="rId26" xr:uid="{00000000-0004-0000-0500-000019000000}"/>
    <hyperlink ref="E15" r:id="rId27" xr:uid="{00000000-0004-0000-0500-00001A000000}"/>
    <hyperlink ref="E16" r:id="rId28" xr:uid="{00000000-0004-0000-0500-00001B000000}"/>
    <hyperlink ref="E17" r:id="rId29" xr:uid="{00000000-0004-0000-0500-00001C000000}"/>
    <hyperlink ref="E18" r:id="rId30" xr:uid="{00000000-0004-0000-0500-00001D000000}"/>
    <hyperlink ref="E5" r:id="rId31" tooltip="mailto:guqiang@js.chinamobile.com" xr:uid="{00000000-0004-0000-0500-00001E000000}"/>
    <hyperlink ref="E4" r:id="rId32" tooltip="mailto:yuxh@js.chinamobile.com" xr:uid="{00000000-0004-0000-0500-00001F000000}"/>
    <hyperlink ref="E2" r:id="rId33" xr:uid="{00000000-0004-0000-0500-000020000000}"/>
    <hyperlink ref="E3" r:id="rId34" xr:uid="{00000000-0004-0000-0500-00002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全量能力清单</vt:lpstr>
      <vt:lpstr>原厂商数据图表概览</vt:lpstr>
      <vt:lpstr>22年厂商上台数汇总</vt:lpstr>
      <vt:lpstr>2022年上台明细</vt:lpstr>
      <vt:lpstr>2023年上台明细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njc</dc:creator>
  <cp:lastModifiedBy>玲玲 周</cp:lastModifiedBy>
  <dcterms:created xsi:type="dcterms:W3CDTF">2022-06-08T17:00:00Z</dcterms:created>
  <dcterms:modified xsi:type="dcterms:W3CDTF">2024-05-15T08:00:36Z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EDBF674F81E94297BF0DC1BE9A7E5C7B_13</vt:lpwstr>
  </property>
  <property fmtid="{D5CDD505-2E9C-101B-9397-08002B2CF9AE}" pid="3" name="KSOProductBuildVer">
    <vt:lpwstr>2052-12.1.0.16120</vt:lpwstr>
  </property>
</Properties>
</file>